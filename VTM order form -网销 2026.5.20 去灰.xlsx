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vuser\Documents\Projects\product-volume-calculator\"/>
    </mc:Choice>
  </mc:AlternateContent>
  <xr:revisionPtr revIDLastSave="0" documentId="13_ncr:1_{7C8E7351-0D95-4039-B66A-31225C9D49EA}" xr6:coauthVersionLast="47" xr6:coauthVersionMax="47" xr10:uidLastSave="{00000000-0000-0000-0000-000000000000}"/>
  <bookViews>
    <workbookView xWindow="-110" yWindow="-110" windowWidth="38620" windowHeight="21100" tabRatio="602" xr2:uid="{00000000-000D-0000-FFFF-FFFF00000000}"/>
  </bookViews>
  <sheets>
    <sheet name="1" sheetId="1" r:id="rId1"/>
    <sheet name="卡板计算" sheetId="2" r:id="rId2"/>
    <sheet name="Sheet1" sheetId="3" r:id="rId3"/>
  </sheets>
  <definedNames>
    <definedName name="_xlnm._FilterDatabase" localSheetId="0" hidden="1">'1'!$A$1:$Q$83</definedName>
    <definedName name="_xlnm._FilterDatabase" localSheetId="1" hidden="1">卡板计算!$A$1:$T$48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48" i="2" l="1"/>
  <c r="I48" i="2"/>
  <c r="H48" i="2"/>
  <c r="G48" i="2"/>
  <c r="F48" i="2"/>
  <c r="E48" i="2"/>
  <c r="D48" i="2"/>
  <c r="C48" i="2"/>
  <c r="B48" i="2"/>
  <c r="K47" i="2"/>
  <c r="I47" i="2"/>
  <c r="H47" i="2"/>
  <c r="G47" i="2"/>
  <c r="F47" i="2"/>
  <c r="E47" i="2"/>
  <c r="D47" i="2"/>
  <c r="C47" i="2"/>
  <c r="B47" i="2"/>
  <c r="K46" i="2"/>
  <c r="I46" i="2"/>
  <c r="H46" i="2"/>
  <c r="G46" i="2"/>
  <c r="F46" i="2"/>
  <c r="E46" i="2"/>
  <c r="D46" i="2"/>
  <c r="C46" i="2"/>
  <c r="B46" i="2"/>
  <c r="K45" i="2"/>
  <c r="I45" i="2"/>
  <c r="H45" i="2"/>
  <c r="G45" i="2"/>
  <c r="F45" i="2"/>
  <c r="E45" i="2"/>
  <c r="D45" i="2"/>
  <c r="C45" i="2"/>
  <c r="B45" i="2"/>
  <c r="K44" i="2"/>
  <c r="I44" i="2"/>
  <c r="H44" i="2"/>
  <c r="G44" i="2"/>
  <c r="F44" i="2"/>
  <c r="E44" i="2"/>
  <c r="D44" i="2"/>
  <c r="C44" i="2"/>
  <c r="B44" i="2"/>
  <c r="K43" i="2"/>
  <c r="I43" i="2"/>
  <c r="H43" i="2"/>
  <c r="G43" i="2"/>
  <c r="F43" i="2"/>
  <c r="E43" i="2"/>
  <c r="D43" i="2"/>
  <c r="C43" i="2"/>
  <c r="B43" i="2"/>
  <c r="K42" i="2"/>
  <c r="I42" i="2"/>
  <c r="H42" i="2"/>
  <c r="G42" i="2"/>
  <c r="F42" i="2"/>
  <c r="E42" i="2"/>
  <c r="D42" i="2"/>
  <c r="C42" i="2"/>
  <c r="B42" i="2"/>
  <c r="K41" i="2"/>
  <c r="I41" i="2"/>
  <c r="H41" i="2"/>
  <c r="G41" i="2"/>
  <c r="F41" i="2"/>
  <c r="E41" i="2"/>
  <c r="D41" i="2"/>
  <c r="C41" i="2"/>
  <c r="B41" i="2"/>
  <c r="K40" i="2"/>
  <c r="I40" i="2"/>
  <c r="H40" i="2"/>
  <c r="G40" i="2"/>
  <c r="F40" i="2"/>
  <c r="E40" i="2"/>
  <c r="D40" i="2"/>
  <c r="C40" i="2"/>
  <c r="B40" i="2"/>
  <c r="K39" i="2"/>
  <c r="I39" i="2"/>
  <c r="H39" i="2"/>
  <c r="G39" i="2"/>
  <c r="F39" i="2"/>
  <c r="E39" i="2"/>
  <c r="D39" i="2"/>
  <c r="C39" i="2"/>
  <c r="B39" i="2"/>
  <c r="K38" i="2"/>
  <c r="I38" i="2"/>
  <c r="G38" i="2"/>
  <c r="F38" i="2"/>
  <c r="E38" i="2"/>
  <c r="D38" i="2"/>
  <c r="C38" i="2"/>
  <c r="B38" i="2"/>
  <c r="K37" i="2"/>
  <c r="I37" i="2"/>
  <c r="H37" i="2"/>
  <c r="G37" i="2"/>
  <c r="F37" i="2"/>
  <c r="E37" i="2"/>
  <c r="D37" i="2"/>
  <c r="C37" i="2"/>
  <c r="B37" i="2"/>
  <c r="K36" i="2"/>
  <c r="I36" i="2"/>
  <c r="H36" i="2"/>
  <c r="G36" i="2"/>
  <c r="F36" i="2"/>
  <c r="E36" i="2"/>
  <c r="D36" i="2"/>
  <c r="C36" i="2"/>
  <c r="B36" i="2"/>
  <c r="K35" i="2"/>
  <c r="I35" i="2"/>
  <c r="H35" i="2"/>
  <c r="G35" i="2"/>
  <c r="F35" i="2"/>
  <c r="E35" i="2"/>
  <c r="D35" i="2"/>
  <c r="C35" i="2"/>
  <c r="B35" i="2"/>
  <c r="K34" i="2"/>
  <c r="I34" i="2"/>
  <c r="H34" i="2"/>
  <c r="G34" i="2"/>
  <c r="F34" i="2"/>
  <c r="E34" i="2"/>
  <c r="L34" i="2" s="1"/>
  <c r="D34" i="2"/>
  <c r="C34" i="2"/>
  <c r="B34" i="2"/>
  <c r="K33" i="2"/>
  <c r="I33" i="2"/>
  <c r="H33" i="2"/>
  <c r="G33" i="2"/>
  <c r="F33" i="2"/>
  <c r="E33" i="2"/>
  <c r="D33" i="2"/>
  <c r="C33" i="2"/>
  <c r="B33" i="2"/>
  <c r="K32" i="2"/>
  <c r="I32" i="2"/>
  <c r="H32" i="2"/>
  <c r="G32" i="2"/>
  <c r="F32" i="2"/>
  <c r="E32" i="2"/>
  <c r="D32" i="2"/>
  <c r="C32" i="2"/>
  <c r="B32" i="2"/>
  <c r="K31" i="2"/>
  <c r="I31" i="2"/>
  <c r="H31" i="2"/>
  <c r="G31" i="2"/>
  <c r="F31" i="2"/>
  <c r="E31" i="2"/>
  <c r="D31" i="2"/>
  <c r="C31" i="2"/>
  <c r="B31" i="2"/>
  <c r="K30" i="2"/>
  <c r="I30" i="2"/>
  <c r="H30" i="2"/>
  <c r="G30" i="2"/>
  <c r="F30" i="2"/>
  <c r="E30" i="2"/>
  <c r="D30" i="2"/>
  <c r="C30" i="2"/>
  <c r="B30" i="2"/>
  <c r="K29" i="2"/>
  <c r="I29" i="2"/>
  <c r="H29" i="2"/>
  <c r="G29" i="2"/>
  <c r="F29" i="2"/>
  <c r="E29" i="2"/>
  <c r="D29" i="2"/>
  <c r="C29" i="2"/>
  <c r="B29" i="2"/>
  <c r="K28" i="2"/>
  <c r="I28" i="2"/>
  <c r="H28" i="2"/>
  <c r="G28" i="2"/>
  <c r="F28" i="2"/>
  <c r="E28" i="2"/>
  <c r="D28" i="2"/>
  <c r="C28" i="2"/>
  <c r="B28" i="2"/>
  <c r="K27" i="2"/>
  <c r="I27" i="2"/>
  <c r="H27" i="2"/>
  <c r="G27" i="2"/>
  <c r="F27" i="2"/>
  <c r="E27" i="2"/>
  <c r="D27" i="2"/>
  <c r="C27" i="2"/>
  <c r="B27" i="2"/>
  <c r="K26" i="2"/>
  <c r="I26" i="2"/>
  <c r="H26" i="2"/>
  <c r="G26" i="2"/>
  <c r="F26" i="2"/>
  <c r="E26" i="2"/>
  <c r="D26" i="2"/>
  <c r="C26" i="2"/>
  <c r="B26" i="2"/>
  <c r="K25" i="2"/>
  <c r="I25" i="2"/>
  <c r="H25" i="2"/>
  <c r="G25" i="2"/>
  <c r="F25" i="2"/>
  <c r="E25" i="2"/>
  <c r="D25" i="2"/>
  <c r="C25" i="2"/>
  <c r="B25" i="2"/>
  <c r="R24" i="2"/>
  <c r="K24" i="2"/>
  <c r="L24" i="2" s="1"/>
  <c r="I24" i="2"/>
  <c r="H24" i="2"/>
  <c r="G24" i="2"/>
  <c r="F24" i="2"/>
  <c r="E24" i="2"/>
  <c r="D24" i="2"/>
  <c r="C24" i="2"/>
  <c r="B24" i="2"/>
  <c r="R23" i="2"/>
  <c r="K23" i="2"/>
  <c r="I23" i="2"/>
  <c r="H23" i="2"/>
  <c r="G23" i="2"/>
  <c r="F23" i="2"/>
  <c r="E23" i="2"/>
  <c r="D23" i="2"/>
  <c r="C23" i="2"/>
  <c r="B23" i="2"/>
  <c r="R22" i="2"/>
  <c r="K22" i="2"/>
  <c r="I22" i="2"/>
  <c r="H22" i="2"/>
  <c r="G22" i="2"/>
  <c r="F22" i="2"/>
  <c r="E22" i="2"/>
  <c r="D22" i="2"/>
  <c r="C22" i="2"/>
  <c r="B22" i="2"/>
  <c r="R21" i="2"/>
  <c r="K21" i="2"/>
  <c r="I21" i="2"/>
  <c r="H21" i="2"/>
  <c r="G21" i="2"/>
  <c r="F21" i="2"/>
  <c r="E21" i="2"/>
  <c r="D21" i="2"/>
  <c r="C21" i="2"/>
  <c r="B21" i="2"/>
  <c r="R20" i="2"/>
  <c r="K20" i="2"/>
  <c r="L20" i="2" s="1"/>
  <c r="I20" i="2"/>
  <c r="H20" i="2"/>
  <c r="G20" i="2"/>
  <c r="F20" i="2"/>
  <c r="E20" i="2"/>
  <c r="D20" i="2"/>
  <c r="C20" i="2"/>
  <c r="B20" i="2"/>
  <c r="R19" i="2"/>
  <c r="K19" i="2"/>
  <c r="I19" i="2"/>
  <c r="H19" i="2"/>
  <c r="G19" i="2"/>
  <c r="F19" i="2"/>
  <c r="E19" i="2"/>
  <c r="L19" i="2" s="1"/>
  <c r="D19" i="2"/>
  <c r="C19" i="2"/>
  <c r="B19" i="2"/>
  <c r="R18" i="2"/>
  <c r="K18" i="2"/>
  <c r="I18" i="2"/>
  <c r="H18" i="2"/>
  <c r="G18" i="2"/>
  <c r="F18" i="2"/>
  <c r="E18" i="2"/>
  <c r="D18" i="2"/>
  <c r="C18" i="2"/>
  <c r="B18" i="2"/>
  <c r="R17" i="2"/>
  <c r="K17" i="2"/>
  <c r="I17" i="2"/>
  <c r="H17" i="2"/>
  <c r="G17" i="2"/>
  <c r="F17" i="2"/>
  <c r="E17" i="2"/>
  <c r="D17" i="2"/>
  <c r="C17" i="2"/>
  <c r="B17" i="2"/>
  <c r="R16" i="2"/>
  <c r="K16" i="2"/>
  <c r="I16" i="2"/>
  <c r="H16" i="2"/>
  <c r="G16" i="2"/>
  <c r="F16" i="2"/>
  <c r="E16" i="2"/>
  <c r="D16" i="2"/>
  <c r="C16" i="2"/>
  <c r="B16" i="2"/>
  <c r="R15" i="2"/>
  <c r="K15" i="2"/>
  <c r="I15" i="2"/>
  <c r="H15" i="2"/>
  <c r="G15" i="2"/>
  <c r="F15" i="2"/>
  <c r="E15" i="2"/>
  <c r="D15" i="2"/>
  <c r="C15" i="2"/>
  <c r="B15" i="2"/>
  <c r="R14" i="2"/>
  <c r="K14" i="2"/>
  <c r="I14" i="2"/>
  <c r="H14" i="2"/>
  <c r="G14" i="2"/>
  <c r="F14" i="2"/>
  <c r="E14" i="2"/>
  <c r="D14" i="2"/>
  <c r="C14" i="2"/>
  <c r="B14" i="2"/>
  <c r="R13" i="2"/>
  <c r="K13" i="2"/>
  <c r="I13" i="2"/>
  <c r="H13" i="2"/>
  <c r="G13" i="2"/>
  <c r="F13" i="2"/>
  <c r="E13" i="2"/>
  <c r="D13" i="2"/>
  <c r="C13" i="2"/>
  <c r="B13" i="2"/>
  <c r="R12" i="2"/>
  <c r="K12" i="2"/>
  <c r="I12" i="2"/>
  <c r="H12" i="2"/>
  <c r="G12" i="2"/>
  <c r="F12" i="2"/>
  <c r="E12" i="2"/>
  <c r="D12" i="2"/>
  <c r="C12" i="2"/>
  <c r="B12" i="2"/>
  <c r="R11" i="2"/>
  <c r="K11" i="2"/>
  <c r="I11" i="2"/>
  <c r="H11" i="2"/>
  <c r="G11" i="2"/>
  <c r="F11" i="2"/>
  <c r="E11" i="2"/>
  <c r="D11" i="2"/>
  <c r="C11" i="2"/>
  <c r="B11" i="2"/>
  <c r="R10" i="2"/>
  <c r="K10" i="2"/>
  <c r="I10" i="2"/>
  <c r="H10" i="2"/>
  <c r="G10" i="2"/>
  <c r="F10" i="2"/>
  <c r="E10" i="2"/>
  <c r="D10" i="2"/>
  <c r="C10" i="2"/>
  <c r="B10" i="2"/>
  <c r="R9" i="2"/>
  <c r="K9" i="2"/>
  <c r="I9" i="2"/>
  <c r="H9" i="2"/>
  <c r="G9" i="2"/>
  <c r="F9" i="2"/>
  <c r="E9" i="2"/>
  <c r="D9" i="2"/>
  <c r="C9" i="2"/>
  <c r="B9" i="2"/>
  <c r="R8" i="2"/>
  <c r="K8" i="2"/>
  <c r="I8" i="2"/>
  <c r="H8" i="2"/>
  <c r="G8" i="2"/>
  <c r="F8" i="2"/>
  <c r="E8" i="2"/>
  <c r="D8" i="2"/>
  <c r="C8" i="2"/>
  <c r="B8" i="2"/>
  <c r="R7" i="2"/>
  <c r="K7" i="2"/>
  <c r="I7" i="2"/>
  <c r="H7" i="2"/>
  <c r="G7" i="2"/>
  <c r="F7" i="2"/>
  <c r="E7" i="2"/>
  <c r="D7" i="2"/>
  <c r="C7" i="2"/>
  <c r="B7" i="2"/>
  <c r="R6" i="2"/>
  <c r="K6" i="2"/>
  <c r="L6" i="2" s="1"/>
  <c r="I6" i="2"/>
  <c r="H6" i="2"/>
  <c r="G6" i="2"/>
  <c r="F6" i="2"/>
  <c r="E6" i="2"/>
  <c r="D6" i="2"/>
  <c r="C6" i="2"/>
  <c r="B6" i="2"/>
  <c r="R5" i="2"/>
  <c r="K5" i="2"/>
  <c r="I5" i="2"/>
  <c r="H5" i="2"/>
  <c r="G5" i="2"/>
  <c r="F5" i="2"/>
  <c r="E5" i="2"/>
  <c r="D5" i="2"/>
  <c r="C5" i="2"/>
  <c r="B5" i="2"/>
  <c r="R4" i="2"/>
  <c r="K4" i="2"/>
  <c r="L4" i="2" s="1"/>
  <c r="I4" i="2"/>
  <c r="H4" i="2"/>
  <c r="G4" i="2"/>
  <c r="F4" i="2"/>
  <c r="E4" i="2"/>
  <c r="D4" i="2"/>
  <c r="C4" i="2"/>
  <c r="B4" i="2"/>
  <c r="R3" i="2"/>
  <c r="K3" i="2"/>
  <c r="I3" i="2"/>
  <c r="H3" i="2"/>
  <c r="G3" i="2"/>
  <c r="F3" i="2"/>
  <c r="E3" i="2"/>
  <c r="D3" i="2"/>
  <c r="C3" i="2"/>
  <c r="B3" i="2"/>
  <c r="R2" i="2"/>
  <c r="K2" i="2"/>
  <c r="L2" i="2" s="1"/>
  <c r="I2" i="2"/>
  <c r="H2" i="2"/>
  <c r="G2" i="2"/>
  <c r="F2" i="2"/>
  <c r="E2" i="2"/>
  <c r="D2" i="2"/>
  <c r="C2" i="2"/>
  <c r="B2" i="2"/>
  <c r="E132" i="1"/>
  <c r="E122" i="1"/>
  <c r="L83" i="1"/>
  <c r="P82" i="1"/>
  <c r="M82" i="1"/>
  <c r="O82" i="1" s="1"/>
  <c r="P81" i="1"/>
  <c r="M81" i="1"/>
  <c r="N81" i="1" s="1"/>
  <c r="P80" i="1"/>
  <c r="M80" i="1"/>
  <c r="O80" i="1" s="1"/>
  <c r="P79" i="1"/>
  <c r="M79" i="1"/>
  <c r="O79" i="1" s="1"/>
  <c r="P78" i="1"/>
  <c r="M78" i="1"/>
  <c r="N78" i="1" s="1"/>
  <c r="P77" i="1"/>
  <c r="M77" i="1"/>
  <c r="O77" i="1" s="1"/>
  <c r="P76" i="1"/>
  <c r="M76" i="1"/>
  <c r="O76" i="1" s="1"/>
  <c r="P75" i="1"/>
  <c r="M75" i="1"/>
  <c r="N75" i="1" s="1"/>
  <c r="P74" i="1"/>
  <c r="M74" i="1"/>
  <c r="O74" i="1" s="1"/>
  <c r="P73" i="1"/>
  <c r="M73" i="1"/>
  <c r="O73" i="1" s="1"/>
  <c r="P72" i="1"/>
  <c r="M72" i="1"/>
  <c r="N72" i="1" s="1"/>
  <c r="P71" i="1"/>
  <c r="M71" i="1"/>
  <c r="N71" i="1" s="1"/>
  <c r="P70" i="1"/>
  <c r="M70" i="1"/>
  <c r="O70" i="1" s="1"/>
  <c r="P69" i="1"/>
  <c r="M69" i="1"/>
  <c r="O69" i="1" s="1"/>
  <c r="P68" i="1"/>
  <c r="M68" i="1"/>
  <c r="O68" i="1" s="1"/>
  <c r="P67" i="1"/>
  <c r="M67" i="1"/>
  <c r="O67" i="1" s="1"/>
  <c r="P66" i="1"/>
  <c r="M66" i="1"/>
  <c r="O66" i="1" s="1"/>
  <c r="P65" i="1"/>
  <c r="M65" i="1"/>
  <c r="O65" i="1" s="1"/>
  <c r="P64" i="1"/>
  <c r="M64" i="1"/>
  <c r="O64" i="1" s="1"/>
  <c r="P63" i="1"/>
  <c r="M63" i="1"/>
  <c r="N63" i="1" s="1"/>
  <c r="P62" i="1"/>
  <c r="M62" i="1"/>
  <c r="N62" i="1" s="1"/>
  <c r="P61" i="1"/>
  <c r="M61" i="1"/>
  <c r="O61" i="1" s="1"/>
  <c r="P60" i="1"/>
  <c r="M60" i="1"/>
  <c r="N60" i="1" s="1"/>
  <c r="P59" i="1"/>
  <c r="M59" i="1"/>
  <c r="O59" i="1" s="1"/>
  <c r="H38" i="2"/>
  <c r="P58" i="1"/>
  <c r="M58" i="1"/>
  <c r="O58" i="1" s="1"/>
  <c r="P57" i="1"/>
  <c r="M57" i="1"/>
  <c r="N57" i="1" s="1"/>
  <c r="P56" i="1"/>
  <c r="M56" i="1"/>
  <c r="O56" i="1" s="1"/>
  <c r="P55" i="1"/>
  <c r="M55" i="1"/>
  <c r="N55" i="1" s="1"/>
  <c r="P54" i="1"/>
  <c r="M54" i="1"/>
  <c r="O54" i="1" s="1"/>
  <c r="P53" i="1"/>
  <c r="M53" i="1"/>
  <c r="N53" i="1" s="1"/>
  <c r="P52" i="1"/>
  <c r="M52" i="1"/>
  <c r="O52" i="1" s="1"/>
  <c r="P51" i="1"/>
  <c r="M51" i="1"/>
  <c r="N51" i="1" s="1"/>
  <c r="P50" i="1"/>
  <c r="M50" i="1"/>
  <c r="O50" i="1" s="1"/>
  <c r="P49" i="1"/>
  <c r="M49" i="1"/>
  <c r="O49" i="1" s="1"/>
  <c r="P48" i="1"/>
  <c r="M48" i="1"/>
  <c r="N48" i="1" s="1"/>
  <c r="P47" i="1"/>
  <c r="M47" i="1"/>
  <c r="O47" i="1" s="1"/>
  <c r="P46" i="1"/>
  <c r="M46" i="1"/>
  <c r="N46" i="1" s="1"/>
  <c r="P45" i="1"/>
  <c r="M45" i="1"/>
  <c r="O45" i="1" s="1"/>
  <c r="P44" i="1"/>
  <c r="M44" i="1"/>
  <c r="O44" i="1" s="1"/>
  <c r="P43" i="1"/>
  <c r="M43" i="1"/>
  <c r="N43" i="1" s="1"/>
  <c r="P42" i="1"/>
  <c r="M42" i="1"/>
  <c r="O42" i="1" s="1"/>
  <c r="P41" i="1"/>
  <c r="M41" i="1"/>
  <c r="N41" i="1" s="1"/>
  <c r="P40" i="1"/>
  <c r="M40" i="1"/>
  <c r="O40" i="1" s="1"/>
  <c r="P39" i="1"/>
  <c r="M39" i="1"/>
  <c r="O39" i="1" s="1"/>
  <c r="P38" i="1"/>
  <c r="M38" i="1"/>
  <c r="N38" i="1" s="1"/>
  <c r="P37" i="1"/>
  <c r="M37" i="1"/>
  <c r="O37" i="1" s="1"/>
  <c r="P36" i="1"/>
  <c r="M36" i="1"/>
  <c r="N36" i="1" s="1"/>
  <c r="P35" i="1"/>
  <c r="M35" i="1"/>
  <c r="N35" i="1" s="1"/>
  <c r="P34" i="1"/>
  <c r="M34" i="1"/>
  <c r="O34" i="1" s="1"/>
  <c r="P33" i="1"/>
  <c r="M33" i="1"/>
  <c r="N33" i="1" s="1"/>
  <c r="P32" i="1"/>
  <c r="M32" i="1"/>
  <c r="N32" i="1" s="1"/>
  <c r="P31" i="1"/>
  <c r="M31" i="1"/>
  <c r="N31" i="1" s="1"/>
  <c r="P30" i="1"/>
  <c r="M30" i="1"/>
  <c r="O30" i="1" s="1"/>
  <c r="P29" i="1"/>
  <c r="M29" i="1"/>
  <c r="O29" i="1" s="1"/>
  <c r="P28" i="1"/>
  <c r="M28" i="1"/>
  <c r="N28" i="1" s="1"/>
  <c r="P27" i="1"/>
  <c r="M27" i="1"/>
  <c r="O27" i="1" s="1"/>
  <c r="P26" i="1"/>
  <c r="M26" i="1"/>
  <c r="N26" i="1" s="1"/>
  <c r="P25" i="1"/>
  <c r="M25" i="1"/>
  <c r="N25" i="1" s="1"/>
  <c r="P24" i="1"/>
  <c r="M24" i="1"/>
  <c r="O24" i="1" s="1"/>
  <c r="P23" i="1"/>
  <c r="M23" i="1"/>
  <c r="N23" i="1" s="1"/>
  <c r="P22" i="1"/>
  <c r="M22" i="1"/>
  <c r="O22" i="1" s="1"/>
  <c r="P21" i="1"/>
  <c r="M21" i="1"/>
  <c r="N21" i="1" s="1"/>
  <c r="P20" i="1"/>
  <c r="M20" i="1"/>
  <c r="O20" i="1" s="1"/>
  <c r="P19" i="1"/>
  <c r="M19" i="1"/>
  <c r="O19" i="1" s="1"/>
  <c r="P18" i="1"/>
  <c r="M18" i="1"/>
  <c r="N18" i="1" s="1"/>
  <c r="P17" i="1"/>
  <c r="M17" i="1"/>
  <c r="O17" i="1" s="1"/>
  <c r="P16" i="1"/>
  <c r="M16" i="1"/>
  <c r="N16" i="1" s="1"/>
  <c r="P15" i="1"/>
  <c r="M15" i="1"/>
  <c r="O15" i="1" s="1"/>
  <c r="P14" i="1"/>
  <c r="M14" i="1"/>
  <c r="O14" i="1" s="1"/>
  <c r="P13" i="1"/>
  <c r="M13" i="1"/>
  <c r="N13" i="1" s="1"/>
  <c r="P12" i="1"/>
  <c r="M12" i="1"/>
  <c r="O12" i="1" s="1"/>
  <c r="P11" i="1"/>
  <c r="M11" i="1"/>
  <c r="N11" i="1" s="1"/>
  <c r="P10" i="1"/>
  <c r="M10" i="1"/>
  <c r="O10" i="1" s="1"/>
  <c r="P9" i="1"/>
  <c r="M9" i="1"/>
  <c r="O9" i="1" s="1"/>
  <c r="P8" i="1"/>
  <c r="M8" i="1"/>
  <c r="N8" i="1" s="1"/>
  <c r="P7" i="1"/>
  <c r="M7" i="1"/>
  <c r="O7" i="1" s="1"/>
  <c r="P6" i="1"/>
  <c r="M6" i="1"/>
  <c r="N6" i="1" s="1"/>
  <c r="P5" i="1"/>
  <c r="M5" i="1"/>
  <c r="O5" i="1" s="1"/>
  <c r="P4" i="1"/>
  <c r="M4" i="1"/>
  <c r="N4" i="1" s="1"/>
  <c r="P3" i="1"/>
  <c r="M3" i="1"/>
  <c r="O3" i="1" s="1"/>
  <c r="P2" i="1"/>
  <c r="M2" i="1"/>
  <c r="N2" i="1" s="1"/>
  <c r="M34" i="2" l="1"/>
  <c r="N20" i="2"/>
  <c r="O11" i="2"/>
  <c r="L13" i="2"/>
  <c r="N13" i="2" s="1"/>
  <c r="L15" i="2"/>
  <c r="M15" i="2" s="1"/>
  <c r="L17" i="2"/>
  <c r="M17" i="2" s="1"/>
  <c r="O19" i="2"/>
  <c r="P83" i="1"/>
  <c r="O43" i="1"/>
  <c r="O34" i="2"/>
  <c r="O28" i="1"/>
  <c r="O8" i="2"/>
  <c r="O81" i="1"/>
  <c r="O12" i="2"/>
  <c r="O14" i="2"/>
  <c r="O16" i="2"/>
  <c r="O26" i="2"/>
  <c r="N20" i="1"/>
  <c r="O22" i="2"/>
  <c r="O35" i="2"/>
  <c r="O35" i="1"/>
  <c r="L16" i="2"/>
  <c r="M16" i="2" s="1"/>
  <c r="N61" i="1"/>
  <c r="N82" i="1"/>
  <c r="N76" i="1"/>
  <c r="O17" i="2"/>
  <c r="O13" i="1"/>
  <c r="O2" i="2"/>
  <c r="O4" i="2"/>
  <c r="O33" i="2"/>
  <c r="N30" i="1"/>
  <c r="O53" i="1"/>
  <c r="N15" i="1"/>
  <c r="O62" i="1"/>
  <c r="O8" i="1"/>
  <c r="N66" i="1"/>
  <c r="L10" i="2"/>
  <c r="S10" i="2" s="1"/>
  <c r="O10" i="2"/>
  <c r="N54" i="1"/>
  <c r="N77" i="1"/>
  <c r="L23" i="2"/>
  <c r="M23" i="2" s="1"/>
  <c r="N40" i="1"/>
  <c r="L3" i="2"/>
  <c r="N3" i="2" s="1"/>
  <c r="O3" i="2"/>
  <c r="N16" i="2"/>
  <c r="O33" i="1"/>
  <c r="O4" i="1"/>
  <c r="L7" i="2"/>
  <c r="M7" i="2" s="1"/>
  <c r="O7" i="2"/>
  <c r="L35" i="2"/>
  <c r="N35" i="2" s="1"/>
  <c r="O72" i="1"/>
  <c r="O9" i="2"/>
  <c r="L12" i="2"/>
  <c r="M12" i="2" s="1"/>
  <c r="O21" i="2"/>
  <c r="O48" i="1"/>
  <c r="O25" i="1"/>
  <c r="O71" i="1"/>
  <c r="O5" i="2"/>
  <c r="O18" i="1"/>
  <c r="O32" i="2"/>
  <c r="N50" i="1"/>
  <c r="L9" i="2"/>
  <c r="N9" i="2" s="1"/>
  <c r="O18" i="2"/>
  <c r="L28" i="2"/>
  <c r="M28" i="2" s="1"/>
  <c r="L33" i="2"/>
  <c r="M33" i="2" s="1"/>
  <c r="O13" i="2"/>
  <c r="O24" i="2"/>
  <c r="N45" i="1"/>
  <c r="O15" i="2"/>
  <c r="O6" i="2"/>
  <c r="O31" i="2"/>
  <c r="O38" i="1"/>
  <c r="L8" i="2"/>
  <c r="N8" i="2" s="1"/>
  <c r="O23" i="1"/>
  <c r="M83" i="1"/>
  <c r="L14" i="2"/>
  <c r="N14" i="2" s="1"/>
  <c r="N10" i="1"/>
  <c r="L5" i="2"/>
  <c r="N5" i="2" s="1"/>
  <c r="L11" i="2"/>
  <c r="S11" i="2" s="1"/>
  <c r="O20" i="2"/>
  <c r="N2" i="2"/>
  <c r="M2" i="2"/>
  <c r="N4" i="2"/>
  <c r="M4" i="2"/>
  <c r="S4" i="2"/>
  <c r="N6" i="2"/>
  <c r="M6" i="2"/>
  <c r="S6" i="2"/>
  <c r="N34" i="2"/>
  <c r="S3" i="2"/>
  <c r="M3" i="2"/>
  <c r="N24" i="2"/>
  <c r="M24" i="2"/>
  <c r="M19" i="2"/>
  <c r="N19" i="2"/>
  <c r="O28" i="2"/>
  <c r="O2" i="1"/>
  <c r="O6" i="1"/>
  <c r="O11" i="1"/>
  <c r="O16" i="1"/>
  <c r="O21" i="1"/>
  <c r="O26" i="1"/>
  <c r="O31" i="1"/>
  <c r="O36" i="1"/>
  <c r="O41" i="1"/>
  <c r="O46" i="1"/>
  <c r="O51" i="1"/>
  <c r="O55" i="1"/>
  <c r="O57" i="1"/>
  <c r="N59" i="1"/>
  <c r="N64" i="1"/>
  <c r="N68" i="1"/>
  <c r="N69" i="1"/>
  <c r="N74" i="1"/>
  <c r="N79" i="1"/>
  <c r="O23" i="2"/>
  <c r="L32" i="2"/>
  <c r="O63" i="1"/>
  <c r="N17" i="1"/>
  <c r="N42" i="1"/>
  <c r="N73" i="1"/>
  <c r="O78" i="1"/>
  <c r="N3" i="1"/>
  <c r="N7" i="1"/>
  <c r="N12" i="1"/>
  <c r="N22" i="1"/>
  <c r="N27" i="1"/>
  <c r="N37" i="1"/>
  <c r="N47" i="1"/>
  <c r="N52" i="1"/>
  <c r="N56" i="1"/>
  <c r="N58" i="1"/>
  <c r="L22" i="2"/>
  <c r="M22" i="2" s="1"/>
  <c r="O32" i="1"/>
  <c r="N65" i="1"/>
  <c r="N70" i="1"/>
  <c r="N80" i="1"/>
  <c r="O60" i="1"/>
  <c r="O75" i="1"/>
  <c r="N67" i="1"/>
  <c r="L18" i="2"/>
  <c r="L31" i="2"/>
  <c r="L21" i="2"/>
  <c r="M21" i="2" s="1"/>
  <c r="N5" i="1"/>
  <c r="N9" i="1"/>
  <c r="N14" i="1"/>
  <c r="N19" i="1"/>
  <c r="N24" i="1"/>
  <c r="N29" i="1"/>
  <c r="N34" i="1"/>
  <c r="N39" i="1"/>
  <c r="N44" i="1"/>
  <c r="N49" i="1"/>
  <c r="L26" i="2"/>
  <c r="M13" i="2"/>
  <c r="M20" i="2"/>
  <c r="N11" i="2" l="1"/>
  <c r="S13" i="2"/>
  <c r="S5" i="2"/>
  <c r="N10" i="2"/>
  <c r="S8" i="2"/>
  <c r="S9" i="2"/>
  <c r="N23" i="2"/>
  <c r="M10" i="2"/>
  <c r="N12" i="2"/>
  <c r="S12" i="2"/>
  <c r="N17" i="2"/>
  <c r="N15" i="2"/>
  <c r="M5" i="2"/>
  <c r="N7" i="2"/>
  <c r="M11" i="2"/>
  <c r="N21" i="2"/>
  <c r="N83" i="1"/>
  <c r="N22" i="2"/>
  <c r="N28" i="2"/>
  <c r="M8" i="2"/>
  <c r="S7" i="2"/>
  <c r="M9" i="2"/>
  <c r="N33" i="2"/>
  <c r="M35" i="2"/>
  <c r="M14" i="2"/>
  <c r="S14" i="2"/>
  <c r="M32" i="2"/>
  <c r="N32" i="2"/>
  <c r="N31" i="2"/>
  <c r="M31" i="2"/>
  <c r="O83" i="1"/>
  <c r="N26" i="2"/>
  <c r="M26" i="2"/>
  <c r="M18" i="2"/>
  <c r="N18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xs41</author>
  </authors>
  <commentList>
    <comment ref="B2" authorId="0" shapeId="0" xr:uid="{00000000-0006-0000-0200-000001000000}">
      <text>
        <r>
          <rPr>
            <b/>
            <sz val="9"/>
            <rFont val="Tahoma"/>
            <charset val="134"/>
          </rPr>
          <t>xs41:</t>
        </r>
        <r>
          <rPr>
            <sz val="9"/>
            <rFont val="Tahoma"/>
            <charset val="134"/>
          </rPr>
          <t xml:space="preserve">
xs41:
xs41:
含送入FBA费用</t>
        </r>
      </text>
    </comment>
  </commentList>
</comments>
</file>

<file path=xl/sharedStrings.xml><?xml version="1.0" encoding="utf-8"?>
<sst xmlns="http://schemas.openxmlformats.org/spreadsheetml/2006/main" count="843" uniqueCount="361">
  <si>
    <t>Factory code</t>
  </si>
  <si>
    <t>Product
Group</t>
  </si>
  <si>
    <t>Ventmere SKU</t>
  </si>
  <si>
    <t>model</t>
  </si>
  <si>
    <t>colour</t>
  </si>
  <si>
    <t>SET/CTN</t>
  </si>
  <si>
    <t>G.W/CTN</t>
  </si>
  <si>
    <t>Carton Size (M)</t>
  </si>
  <si>
    <t>Volume/CTN</t>
  </si>
  <si>
    <t>FOB($)
(SHENZHEN)</t>
  </si>
  <si>
    <t>MOQ</t>
  </si>
  <si>
    <t>发货订单/预留订单
QTY（SET）</t>
  </si>
  <si>
    <t>CTN（CTN）</t>
  </si>
  <si>
    <t>G.W（KGS）</t>
  </si>
  <si>
    <t>Volume（CBM）</t>
  </si>
  <si>
    <t>Amount</t>
  </si>
  <si>
    <t>3P00120-CA00</t>
  </si>
  <si>
    <t>Speaker</t>
  </si>
  <si>
    <t>edifier-p12-brown</t>
  </si>
  <si>
    <t>P12</t>
  </si>
  <si>
    <t>brown</t>
  </si>
  <si>
    <t>0.459*0.344*0.395M</t>
  </si>
  <si>
    <t>D12</t>
  </si>
  <si>
    <t>0.443*0.337*0.393M</t>
  </si>
  <si>
    <t>edifier-d12</t>
  </si>
  <si>
    <t>MR4</t>
  </si>
  <si>
    <t>black</t>
  </si>
  <si>
    <t>0.461*0.345*0.388M</t>
  </si>
  <si>
    <t>edifier-mr4-black</t>
  </si>
  <si>
    <t>white</t>
  </si>
  <si>
    <t>edifier-mr4-white</t>
  </si>
  <si>
    <t>R1080BT</t>
  </si>
  <si>
    <t>3R1280D-CAA4</t>
  </si>
  <si>
    <t>edifier-r1280db-wood</t>
  </si>
  <si>
    <t>R1280DB</t>
  </si>
  <si>
    <t>0.453*0.322*0.395M</t>
  </si>
  <si>
    <t>3R1280D-CA01</t>
  </si>
  <si>
    <t>edifier-r1280db-black</t>
  </si>
  <si>
    <t>white silver</t>
  </si>
  <si>
    <t>R1280DBs</t>
  </si>
  <si>
    <t>edifier-r1280dbs-wood</t>
  </si>
  <si>
    <t>edifier-r1280dbs-black</t>
  </si>
  <si>
    <t>3R1700B-CA06</t>
  </si>
  <si>
    <t>edifier-r1700bt</t>
  </si>
  <si>
    <t>R1700BT</t>
  </si>
  <si>
    <t>0.462*0.352*0.412M</t>
  </si>
  <si>
    <t>edifier-r1700bt-brown</t>
  </si>
  <si>
    <t>edifier-r1700bt-black</t>
  </si>
  <si>
    <t>edifier-r1700bt-white silver</t>
  </si>
  <si>
    <t>R1700BTs</t>
  </si>
  <si>
    <t>0.464*0.352*0.412M</t>
  </si>
  <si>
    <t>edifier-r1700bts-brown</t>
  </si>
  <si>
    <t xml:space="preserve"> </t>
  </si>
  <si>
    <t>edifier-r1280t</t>
  </si>
  <si>
    <t>R1280T</t>
  </si>
  <si>
    <t>R1280Ts</t>
  </si>
  <si>
    <t>edifier-r1280ts-brown</t>
  </si>
  <si>
    <t>3R1850D-CA00</t>
  </si>
  <si>
    <t>edifier-r1850db-black</t>
  </si>
  <si>
    <t>R1850DB</t>
  </si>
  <si>
    <t>.</t>
  </si>
  <si>
    <t>edifier-r2000db-black</t>
  </si>
  <si>
    <t>R2000DB</t>
  </si>
  <si>
    <t>0.477*0.322*0.393M</t>
  </si>
  <si>
    <t>3R2000D-CA09</t>
  </si>
  <si>
    <t>edifier-r2000db-wood</t>
  </si>
  <si>
    <t>R2850DB</t>
  </si>
  <si>
    <t>0.679*0.434*0.581M</t>
  </si>
  <si>
    <t>R33BT</t>
  </si>
  <si>
    <t>0.615*0.425*0.375M</t>
  </si>
  <si>
    <t>edifier-r33bt-black</t>
  </si>
  <si>
    <t>3R0980T-CA00</t>
  </si>
  <si>
    <t>edifier-r980t</t>
  </si>
  <si>
    <t>R980T</t>
  </si>
  <si>
    <t>0.459*0.329*0.395M</t>
  </si>
  <si>
    <t>S1000MKII</t>
  </si>
  <si>
    <t>0.520*0.365*0.433M</t>
  </si>
  <si>
    <t>S2000MKⅢ</t>
  </si>
  <si>
    <t>0.549*0.378*0.448M</t>
  </si>
  <si>
    <t>S3000MKⅡ</t>
  </si>
  <si>
    <t>0.602*0.388*0.477M</t>
  </si>
  <si>
    <t>S350DB</t>
  </si>
  <si>
    <t>0.629*0.376*0.382M</t>
  </si>
  <si>
    <t>S351DB</t>
  </si>
  <si>
    <t>edifier-s360db-brown</t>
  </si>
  <si>
    <t>S360DB</t>
  </si>
  <si>
    <t>0.670*0.428*0.415M</t>
  </si>
  <si>
    <t>S1000W</t>
  </si>
  <si>
    <t>edifier-s1000w-brown</t>
  </si>
  <si>
    <t>QD35</t>
  </si>
  <si>
    <t>0.396*0.356*0.560M</t>
  </si>
  <si>
    <t>edifier-qd35-black</t>
  </si>
  <si>
    <t>edifier-qd35-white</t>
  </si>
  <si>
    <t>QD25</t>
  </si>
  <si>
    <t>0.477*0.306*0.358M</t>
  </si>
  <si>
    <t>QS20</t>
  </si>
  <si>
    <t>0.379*0.270*0.292M</t>
  </si>
  <si>
    <t>red</t>
  </si>
  <si>
    <t>silver</t>
  </si>
  <si>
    <t>QR65</t>
  </si>
  <si>
    <t>0.575*0.382*0.363M</t>
  </si>
  <si>
    <t>MP230</t>
  </si>
  <si>
    <t>0.544*0.445*0.249M</t>
  </si>
  <si>
    <t>edifier-mp230-brown</t>
  </si>
  <si>
    <t>green black</t>
  </si>
  <si>
    <t>edifier-mp230-black</t>
  </si>
  <si>
    <t>retro black</t>
  </si>
  <si>
    <t>MP330</t>
  </si>
  <si>
    <t>0.519*0.346*0.346M</t>
  </si>
  <si>
    <t>ivory</t>
  </si>
  <si>
    <t>MR3</t>
  </si>
  <si>
    <t>0.43*0.324*0.376M</t>
  </si>
  <si>
    <t>MR5</t>
  </si>
  <si>
    <t>0.439*0.356*0.372M</t>
  </si>
  <si>
    <t>R990BT</t>
  </si>
  <si>
    <t>3S00020-CA01</t>
  </si>
  <si>
    <t>Stand</t>
  </si>
  <si>
    <t>edifier-s2000pro-stand</t>
  </si>
  <si>
    <t>SS02</t>
  </si>
  <si>
    <t>0.725*0.485*0.287M</t>
  </si>
  <si>
    <t>SS02C</t>
  </si>
  <si>
    <t>SS03</t>
  </si>
  <si>
    <t>0.694*0.487*0.305M</t>
  </si>
  <si>
    <t>edifier-ss03-wood</t>
  </si>
  <si>
    <t>T5</t>
  </si>
  <si>
    <t>0.453*0.383*0.404M</t>
  </si>
  <si>
    <t>T5s</t>
  </si>
  <si>
    <t>0.499*0.277*0.517m</t>
  </si>
  <si>
    <t>R1380DB</t>
  </si>
  <si>
    <t>R19BT</t>
  </si>
  <si>
    <t>pink</t>
  </si>
  <si>
    <t>grey</t>
  </si>
  <si>
    <t>Headphone</t>
  </si>
  <si>
    <t>TWS1 Pro</t>
  </si>
  <si>
    <t>P205</t>
  </si>
  <si>
    <t>0.367*0.26*0.156M</t>
  </si>
  <si>
    <t>W820NB</t>
  </si>
  <si>
    <t>S3</t>
  </si>
  <si>
    <t>TWS NB2 Pro</t>
  </si>
  <si>
    <t>TWS200 Plus</t>
  </si>
  <si>
    <t>X3</t>
  </si>
  <si>
    <t>blue</t>
  </si>
  <si>
    <t>X2</t>
  </si>
  <si>
    <t>0.327*0.322*0.268M</t>
  </si>
  <si>
    <t>edifier-x2-white</t>
  </si>
  <si>
    <t>edifier-x2-pink</t>
  </si>
  <si>
    <t>edifier-x2-blue</t>
  </si>
  <si>
    <t>edifier-x2-black</t>
  </si>
  <si>
    <t>WH500</t>
  </si>
  <si>
    <t>0.406*0.245*0.393M</t>
  </si>
  <si>
    <t>edifier-wh500-black</t>
  </si>
  <si>
    <t>edifier-wh500-white</t>
  </si>
  <si>
    <t>edifier-wh500-blue</t>
  </si>
  <si>
    <t>gray</t>
  </si>
  <si>
    <t>green</t>
  </si>
  <si>
    <t>X3s</t>
  </si>
  <si>
    <t>navy</t>
  </si>
  <si>
    <t>V80</t>
  </si>
  <si>
    <t>0.46*0.315*0.416M</t>
  </si>
  <si>
    <t>WH950NB 25V</t>
  </si>
  <si>
    <t>0.395*0.375*0.261M</t>
  </si>
  <si>
    <t>X5 Lite</t>
  </si>
  <si>
    <t>0.358*0.316*0.265M</t>
  </si>
  <si>
    <t>W830NB</t>
  </si>
  <si>
    <t>0.0633888</t>
  </si>
  <si>
    <t>sand white</t>
  </si>
  <si>
    <t>W800BT Pro</t>
  </si>
  <si>
    <t>W820NB Plus 25version</t>
  </si>
  <si>
    <t>0.437*0.288*0.402M</t>
  </si>
  <si>
    <t>dark gray</t>
  </si>
  <si>
    <t>smoky pink</t>
  </si>
  <si>
    <t/>
  </si>
  <si>
    <t>K680 促销库</t>
  </si>
  <si>
    <t>K210 促销库</t>
  </si>
  <si>
    <t>R1010BT 促销库</t>
  </si>
  <si>
    <t>P275 18套 促销库</t>
  </si>
  <si>
    <t>W280BT 蓝色</t>
  </si>
  <si>
    <t>S2000PRO 403套转国内</t>
  </si>
  <si>
    <t>W806BT异常</t>
  </si>
  <si>
    <t>BDSZ19001 R1010BT</t>
  </si>
  <si>
    <t>SIZE/CTN</t>
  </si>
  <si>
    <r>
      <rPr>
        <b/>
        <sz val="10"/>
        <rFont val="宋体"/>
        <charset val="134"/>
      </rPr>
      <t xml:space="preserve">可发货库存
</t>
    </r>
    <r>
      <rPr>
        <b/>
        <sz val="10"/>
        <rFont val="Arial"/>
        <charset val="134"/>
      </rPr>
      <t>2022/03/30</t>
    </r>
  </si>
  <si>
    <r>
      <rPr>
        <b/>
        <sz val="10"/>
        <rFont val="宋体"/>
        <charset val="134"/>
      </rPr>
      <t>发货订单</t>
    </r>
    <r>
      <rPr>
        <b/>
        <sz val="10"/>
        <rFont val="宋体"/>
        <charset val="134"/>
      </rPr>
      <t xml:space="preserve">
</t>
    </r>
    <r>
      <rPr>
        <b/>
        <sz val="10"/>
        <rFont val="Arial"/>
        <charset val="134"/>
      </rPr>
      <t>QTY</t>
    </r>
    <r>
      <rPr>
        <b/>
        <sz val="10"/>
        <rFont val="宋体"/>
        <charset val="134"/>
      </rPr>
      <t>（</t>
    </r>
    <r>
      <rPr>
        <b/>
        <sz val="10"/>
        <rFont val="Arial"/>
        <charset val="134"/>
      </rPr>
      <t>SET</t>
    </r>
    <r>
      <rPr>
        <b/>
        <sz val="10"/>
        <rFont val="宋体"/>
        <charset val="134"/>
      </rPr>
      <t>）</t>
    </r>
  </si>
  <si>
    <r>
      <rPr>
        <b/>
        <sz val="10"/>
        <rFont val="宋体"/>
        <charset val="134"/>
      </rPr>
      <t>卡板箱数</t>
    </r>
    <r>
      <rPr>
        <b/>
        <sz val="10"/>
        <rFont val="Arial"/>
        <charset val="134"/>
      </rPr>
      <t>/</t>
    </r>
    <r>
      <rPr>
        <b/>
        <sz val="10"/>
        <rFont val="宋体"/>
        <charset val="134"/>
      </rPr>
      <t>层</t>
    </r>
  </si>
  <si>
    <t>层/卡板</t>
  </si>
  <si>
    <r>
      <rPr>
        <b/>
        <sz val="10"/>
        <rFont val="宋体"/>
        <charset val="134"/>
      </rPr>
      <t>总箱数</t>
    </r>
    <r>
      <rPr>
        <b/>
        <sz val="10"/>
        <rFont val="Arial"/>
        <charset val="134"/>
      </rPr>
      <t>/</t>
    </r>
    <r>
      <rPr>
        <b/>
        <sz val="10"/>
        <rFont val="宋体"/>
        <charset val="134"/>
      </rPr>
      <t>卡板</t>
    </r>
  </si>
  <si>
    <t>订单卡板数</t>
  </si>
  <si>
    <t>Note</t>
  </si>
  <si>
    <t>新包装</t>
  </si>
  <si>
    <t>出口型号名</t>
  </si>
  <si>
    <t>VM/VC(USD)
工厂提货价</t>
  </si>
  <si>
    <t>/</t>
  </si>
  <si>
    <t>X3 To-U</t>
  </si>
  <si>
    <t>To-U2</t>
  </si>
  <si>
    <t>To-U6+</t>
  </si>
  <si>
    <t>To-U2 mini</t>
  </si>
  <si>
    <t>To-U3 Pro</t>
  </si>
  <si>
    <t>Neobuds Pro</t>
  </si>
  <si>
    <t>Neobuds S</t>
  </si>
  <si>
    <r>
      <rPr>
        <sz val="10"/>
        <rFont val="微软雅黑"/>
        <charset val="134"/>
      </rPr>
      <t>TWS33</t>
    </r>
    <r>
      <rPr>
        <sz val="10"/>
        <rFont val="微软雅黑"/>
        <charset val="134"/>
      </rPr>
      <t>0</t>
    </r>
    <r>
      <rPr>
        <sz val="10"/>
        <rFont val="微软雅黑"/>
        <charset val="134"/>
      </rPr>
      <t xml:space="preserve"> </t>
    </r>
    <r>
      <rPr>
        <sz val="10"/>
        <rFont val="微软雅黑"/>
        <charset val="134"/>
      </rPr>
      <t>NB</t>
    </r>
  </si>
  <si>
    <t>W200Tmini</t>
  </si>
  <si>
    <t>W240TN</t>
  </si>
  <si>
    <t>W220T</t>
  </si>
  <si>
    <t>W280NB</t>
  </si>
  <si>
    <t>W600BT</t>
  </si>
  <si>
    <t>W800BT PLUS</t>
  </si>
  <si>
    <t xml:space="preserve"> v</t>
  </si>
  <si>
    <t>W820NB PLUS</t>
  </si>
  <si>
    <t>WH950NB</t>
  </si>
  <si>
    <t>K5000</t>
  </si>
  <si>
    <t>K6500</t>
  </si>
  <si>
    <t>H180</t>
  </si>
  <si>
    <t>P180</t>
  </si>
  <si>
    <t>H185</t>
  </si>
  <si>
    <t>H190</t>
  </si>
  <si>
    <t>P190</t>
  </si>
  <si>
    <t>H840</t>
  </si>
  <si>
    <t>P841</t>
  </si>
  <si>
    <t>H650</t>
  </si>
  <si>
    <t>H850</t>
  </si>
  <si>
    <t>H880</t>
  </si>
  <si>
    <t>W200BT SE</t>
  </si>
  <si>
    <t>W280BT</t>
  </si>
  <si>
    <t>W285BT</t>
  </si>
  <si>
    <t>W295BT PLUS</t>
  </si>
  <si>
    <t>W310BT</t>
  </si>
  <si>
    <t>W330NB</t>
  </si>
  <si>
    <t>W380NB</t>
  </si>
  <si>
    <t>W800BT</t>
  </si>
  <si>
    <t>W828NB</t>
  </si>
  <si>
    <t>W830BT</t>
  </si>
  <si>
    <t>W860NB</t>
  </si>
  <si>
    <t>TWS6</t>
  </si>
  <si>
    <t>TWS NB2</t>
  </si>
  <si>
    <t>TWS1</t>
  </si>
  <si>
    <t>TWS NB</t>
  </si>
  <si>
    <t>W820BT</t>
  </si>
  <si>
    <t>CC200</t>
  </si>
  <si>
    <t>更新时间：2023.01.12</t>
  </si>
  <si>
    <t>报价单有效期：6个月</t>
  </si>
  <si>
    <t>Model</t>
  </si>
  <si>
    <r>
      <rPr>
        <b/>
        <sz val="10"/>
        <rFont val="Arial"/>
        <charset val="134"/>
      </rPr>
      <t xml:space="preserve">VTM/VTC FOB 
</t>
    </r>
    <r>
      <rPr>
        <b/>
        <sz val="10"/>
        <rFont val="宋体"/>
        <charset val="134"/>
      </rPr>
      <t>（美金）</t>
    </r>
  </si>
  <si>
    <t>Colour</t>
  </si>
  <si>
    <t>MP120</t>
  </si>
  <si>
    <t>iron grey</t>
  </si>
  <si>
    <t>Black Green</t>
  </si>
  <si>
    <t>MP260</t>
  </si>
  <si>
    <t>MP85</t>
  </si>
  <si>
    <t>MP100 Plus</t>
  </si>
  <si>
    <t>forest green</t>
  </si>
  <si>
    <t>lake green</t>
  </si>
  <si>
    <t>MF200</t>
  </si>
  <si>
    <t>space grey</t>
  </si>
  <si>
    <t>MS50A</t>
  </si>
  <si>
    <t>B700</t>
  </si>
  <si>
    <t>metal grey</t>
  </si>
  <si>
    <t>MG300</t>
  </si>
  <si>
    <t>MG250</t>
  </si>
  <si>
    <t>?</t>
  </si>
  <si>
    <t>M1250</t>
  </si>
  <si>
    <t>R12U</t>
  </si>
  <si>
    <t>R1000T4</t>
  </si>
  <si>
    <t>R1100</t>
  </si>
  <si>
    <t>R1380T</t>
  </si>
  <si>
    <t>silver white</t>
  </si>
  <si>
    <t>R1600TⅢ</t>
  </si>
  <si>
    <t>R33BT+</t>
  </si>
  <si>
    <t>\</t>
  </si>
  <si>
    <t>R1010BT</t>
  </si>
  <si>
    <t>R1280DBS</t>
  </si>
  <si>
    <t>R1855DB</t>
  </si>
  <si>
    <t>matte black</t>
  </si>
  <si>
    <t>R1580MB</t>
  </si>
  <si>
    <t>R2750DB</t>
  </si>
  <si>
    <t>S880DB</t>
  </si>
  <si>
    <t>S1000MKⅡ</t>
  </si>
  <si>
    <t>S3000 PRO</t>
  </si>
  <si>
    <t>S3000MKII</t>
  </si>
  <si>
    <t>P17</t>
  </si>
  <si>
    <t>M1360</t>
  </si>
  <si>
    <t>M1380</t>
  </si>
  <si>
    <t>M101BT</t>
  </si>
  <si>
    <t>M201BT</t>
  </si>
  <si>
    <t>M203BT</t>
  </si>
  <si>
    <t>M206BT</t>
  </si>
  <si>
    <t>X230</t>
  </si>
  <si>
    <t>CX7</t>
  </si>
  <si>
    <t>M601DB</t>
  </si>
  <si>
    <t>R501BT</t>
  </si>
  <si>
    <t>SS05</t>
  </si>
  <si>
    <t>SW10</t>
  </si>
  <si>
    <t>DS12</t>
  </si>
  <si>
    <t>R201TIII</t>
  </si>
  <si>
    <t>XM3</t>
  </si>
  <si>
    <t>R103V</t>
  </si>
  <si>
    <t>X100</t>
  </si>
  <si>
    <t>C2XD</t>
  </si>
  <si>
    <t>XM2PF</t>
  </si>
  <si>
    <t>M2280</t>
  </si>
  <si>
    <t>X100B</t>
  </si>
  <si>
    <t>R1042BT(R1080BT RU)</t>
  </si>
  <si>
    <t>R501TIII</t>
  </si>
  <si>
    <t>R18T</t>
  </si>
  <si>
    <t>R18</t>
  </si>
  <si>
    <t>R1000TCN</t>
  </si>
  <si>
    <t>A3-8S</t>
  </si>
  <si>
    <t>PK305</t>
  </si>
  <si>
    <t>MF3</t>
  </si>
  <si>
    <t>PP506</t>
  </si>
  <si>
    <t>PW312</t>
  </si>
  <si>
    <t>G2 SE</t>
  </si>
  <si>
    <t>G4</t>
  </si>
  <si>
    <t>G4 TE</t>
  </si>
  <si>
    <t xml:space="preserve">G7 </t>
  </si>
  <si>
    <t>GS01</t>
  </si>
  <si>
    <t>SKU</t>
  </si>
  <si>
    <t>edifier-r2850db-black</t>
  </si>
  <si>
    <t>edifier-qd25-black</t>
  </si>
  <si>
    <t>edifier-qd25-white</t>
  </si>
  <si>
    <t>edifier-qs20-black</t>
  </si>
  <si>
    <t>edifier-qs20-red</t>
  </si>
  <si>
    <t>edifier-qs20-silver</t>
  </si>
  <si>
    <t>edifier-qr65-black</t>
  </si>
  <si>
    <t>edifier-qr65-white</t>
  </si>
  <si>
    <t>edifier-mp330-brown</t>
  </si>
  <si>
    <t>edifier-mp330-ivory</t>
  </si>
  <si>
    <t>edifier-mr3-black</t>
  </si>
  <si>
    <t>edifier-mr3-white</t>
  </si>
  <si>
    <t>edifier-mr5-black</t>
  </si>
  <si>
    <t>edifier-mr5-white</t>
  </si>
  <si>
    <t>edifier-r990bt-black</t>
  </si>
  <si>
    <t>edifier-t5s-black</t>
  </si>
  <si>
    <t>edifier-t5s-brown</t>
  </si>
  <si>
    <t>ed-s1000mkii-brown</t>
  </si>
  <si>
    <t>ed-s2000mkiii-brown</t>
  </si>
  <si>
    <t>ed-s3000mkii-brown</t>
  </si>
  <si>
    <t>edifier-s350db</t>
  </si>
  <si>
    <t>edifier-s351db</t>
  </si>
  <si>
    <t>edifier-mp330-black</t>
  </si>
  <si>
    <t>edifier-ss02-brown</t>
  </si>
  <si>
    <t>edifier-ss02c-brown</t>
  </si>
  <si>
    <t>edifier-t5</t>
  </si>
  <si>
    <t>edifier-p205-black</t>
  </si>
  <si>
    <t>edifier-p205-white</t>
  </si>
  <si>
    <t>edifier-v80-brown</t>
  </si>
  <si>
    <t>edifier-v80-navy</t>
  </si>
  <si>
    <t>edifier-v80-ivory</t>
  </si>
  <si>
    <t>edifier-w830nb-black</t>
  </si>
  <si>
    <t>edifier-wh950nbgen2-black</t>
  </si>
  <si>
    <t>edifier-wh950nbgen2-ivory</t>
  </si>
  <si>
    <t>edifier-x5lite-black</t>
  </si>
  <si>
    <t>edifier-x5lite-white</t>
  </si>
  <si>
    <t>edifier-w830nb-grey</t>
  </si>
  <si>
    <t>edifier-w830nb-white</t>
  </si>
  <si>
    <t>edifier-w800btpro-black</t>
  </si>
  <si>
    <t>edifier-w800btpro-grey</t>
  </si>
  <si>
    <t>edifier-w800btpro-ivory</t>
  </si>
  <si>
    <t>edifier-w820nbplusgen2-ivory</t>
  </si>
  <si>
    <t>edifier-w820nbplusgen2-grey</t>
  </si>
  <si>
    <t>edifier-w820nbplusgen2-navy</t>
  </si>
  <si>
    <t>edifier-w820nbplusgen2-pink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</si>
</sst>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\$#,##0.00;\-\$#,##0.00"/>
    <numFmt numFmtId="165" formatCode="&quot;US$&quot;#,##0.00;\-&quot;US$&quot;#,##0.00"/>
    <numFmt numFmtId="166" formatCode="&quot;US$&quot;#,##0.00_);[Red]\(&quot;US$&quot;#,##0.00\)"/>
    <numFmt numFmtId="167" formatCode="0.00_);[Red]\(0.00\)"/>
    <numFmt numFmtId="168" formatCode="0.0"/>
  </numFmts>
  <fonts count="23">
    <font>
      <sz val="10"/>
      <name val="Arial"/>
      <charset val="134"/>
    </font>
    <font>
      <sz val="10"/>
      <name val="微软雅黑"/>
      <charset val="134"/>
    </font>
    <font>
      <b/>
      <sz val="10"/>
      <color theme="0"/>
      <name val="微软雅黑"/>
      <charset val="134"/>
    </font>
    <font>
      <b/>
      <sz val="10"/>
      <name val="微软雅黑"/>
      <charset val="134"/>
    </font>
    <font>
      <b/>
      <sz val="10"/>
      <name val="Arial"/>
      <charset val="134"/>
    </font>
    <font>
      <sz val="10"/>
      <color theme="1"/>
      <name val="Arial"/>
      <charset val="134"/>
    </font>
    <font>
      <b/>
      <sz val="10"/>
      <color theme="1"/>
      <name val="Arial"/>
      <charset val="134"/>
    </font>
    <font>
      <sz val="10"/>
      <color rgb="FFFF0000"/>
      <name val="Arial"/>
      <charset val="134"/>
    </font>
    <font>
      <b/>
      <sz val="12"/>
      <name val="Arial"/>
      <charset val="134"/>
    </font>
    <font>
      <b/>
      <sz val="10"/>
      <name val="宋体"/>
      <charset val="134"/>
    </font>
    <font>
      <sz val="10"/>
      <name val="宋体"/>
      <charset val="134"/>
    </font>
    <font>
      <sz val="10"/>
      <color theme="1"/>
      <name val="微软雅黑"/>
      <charset val="134"/>
    </font>
    <font>
      <b/>
      <sz val="12"/>
      <name val="微软雅黑"/>
      <charset val="134"/>
    </font>
    <font>
      <sz val="11"/>
      <color rgb="FFFF0000"/>
      <name val="微软雅黑"/>
      <charset val="134"/>
    </font>
    <font>
      <sz val="10"/>
      <color rgb="FFFF0000"/>
      <name val="微软雅黑"/>
      <charset val="134"/>
    </font>
    <font>
      <sz val="11"/>
      <name val="微软雅黑"/>
      <charset val="134"/>
    </font>
    <font>
      <sz val="8"/>
      <color theme="1"/>
      <name val="微软雅黑"/>
      <charset val="134"/>
    </font>
    <font>
      <sz val="6"/>
      <name val="微软雅黑"/>
      <charset val="134"/>
    </font>
    <font>
      <sz val="6"/>
      <color theme="1"/>
      <name val="微软雅黑"/>
      <charset val="134"/>
    </font>
    <font>
      <sz val="10"/>
      <name val="Helv"/>
      <charset val="134"/>
    </font>
    <font>
      <b/>
      <sz val="9"/>
      <name val="Tahoma"/>
      <charset val="134"/>
    </font>
    <font>
      <sz val="9"/>
      <name val="Tahoma"/>
      <charset val="134"/>
    </font>
    <font>
      <sz val="10"/>
      <name val="Arial"/>
      <charset val="134"/>
    </font>
  </fonts>
  <fills count="19">
    <fill>
      <patternFill patternType="none"/>
    </fill>
    <fill>
      <patternFill patternType="gray125"/>
    </fill>
    <fill>
      <patternFill patternType="solid">
        <fgColor rgb="FF002060"/>
        <bgColor rgb="FF002060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8840296639912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5" tint="0.79967650379955446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13"/>
        <bgColor indexed="64"/>
      </patternFill>
    </fill>
  </fills>
  <borders count="4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</borders>
  <cellStyleXfs count="4">
    <xf numFmtId="0" fontId="0" fillId="0" borderId="0"/>
    <xf numFmtId="0" fontId="22" fillId="0" borderId="0"/>
    <xf numFmtId="0" fontId="19" fillId="0" borderId="0"/>
    <xf numFmtId="0" fontId="22" fillId="0" borderId="0"/>
  </cellStyleXfs>
  <cellXfs count="138">
    <xf numFmtId="0" fontId="0" fillId="0" borderId="0" xfId="0" applyAlignment="1">
      <alignment vertical="top"/>
    </xf>
    <xf numFmtId="0" fontId="1" fillId="0" borderId="0" xfId="0" applyFont="1" applyAlignment="1">
      <alignment vertical="top"/>
    </xf>
    <xf numFmtId="164" fontId="1" fillId="0" borderId="0" xfId="0" applyNumberFormat="1" applyFont="1" applyAlignment="1">
      <alignment horizontal="right" vertical="top"/>
    </xf>
    <xf numFmtId="0" fontId="2" fillId="2" borderId="1" xfId="0" applyFont="1" applyFill="1" applyBorder="1" applyAlignment="1">
      <alignment vertical="top"/>
    </xf>
    <xf numFmtId="164" fontId="3" fillId="3" borderId="1" xfId="0" applyNumberFormat="1" applyFont="1" applyFill="1" applyBorder="1" applyAlignment="1">
      <alignment horizontal="left" vertical="top" wrapText="1"/>
    </xf>
    <xf numFmtId="0" fontId="1" fillId="0" borderId="1" xfId="0" applyFont="1" applyBorder="1" applyAlignment="1">
      <alignment vertical="top"/>
    </xf>
    <xf numFmtId="164" fontId="1" fillId="0" borderId="1" xfId="0" applyNumberFormat="1" applyFont="1" applyBorder="1" applyAlignment="1">
      <alignment horizontal="left" vertical="center"/>
    </xf>
    <xf numFmtId="0" fontId="1" fillId="0" borderId="1" xfId="0" applyFont="1" applyBorder="1" applyAlignment="1">
      <alignment vertical="top" wrapText="1"/>
    </xf>
    <xf numFmtId="0" fontId="1" fillId="0" borderId="2" xfId="0" applyFont="1" applyBorder="1" applyAlignment="1">
      <alignment vertical="top"/>
    </xf>
    <xf numFmtId="164" fontId="1" fillId="0" borderId="2" xfId="0" applyNumberFormat="1" applyFont="1" applyBorder="1" applyAlignment="1">
      <alignment horizontal="left" vertical="center"/>
    </xf>
    <xf numFmtId="164" fontId="1" fillId="0" borderId="2" xfId="0" applyNumberFormat="1" applyFont="1" applyBorder="1" applyAlignment="1">
      <alignment horizontal="right" vertical="top"/>
    </xf>
    <xf numFmtId="0" fontId="1" fillId="4" borderId="1" xfId="0" applyFont="1" applyFill="1" applyBorder="1" applyAlignment="1">
      <alignment vertical="top"/>
    </xf>
    <xf numFmtId="164" fontId="1" fillId="4" borderId="1" xfId="0" applyNumberFormat="1" applyFont="1" applyFill="1" applyBorder="1" applyAlignment="1">
      <alignment horizontal="left" vertical="center"/>
    </xf>
    <xf numFmtId="0" fontId="1" fillId="4" borderId="1" xfId="0" applyFont="1" applyFill="1" applyBorder="1" applyAlignment="1">
      <alignment vertical="top" wrapText="1"/>
    </xf>
    <xf numFmtId="0" fontId="1" fillId="4" borderId="3" xfId="0" applyFont="1" applyFill="1" applyBorder="1" applyAlignment="1">
      <alignment vertical="top"/>
    </xf>
    <xf numFmtId="164" fontId="1" fillId="4" borderId="3" xfId="0" applyNumberFormat="1" applyFont="1" applyFill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49" fontId="3" fillId="5" borderId="2" xfId="0" applyNumberFormat="1" applyFont="1" applyFill="1" applyBorder="1" applyAlignment="1">
      <alignment horizontal="left" vertical="center"/>
    </xf>
    <xf numFmtId="165" fontId="3" fillId="5" borderId="2" xfId="0" applyNumberFormat="1" applyFont="1" applyFill="1" applyBorder="1" applyAlignment="1">
      <alignment horizontal="center" vertical="center"/>
    </xf>
    <xf numFmtId="49" fontId="3" fillId="5" borderId="2" xfId="0" applyNumberFormat="1" applyFont="1" applyFill="1" applyBorder="1" applyAlignment="1">
      <alignment horizontal="center" vertical="center"/>
    </xf>
    <xf numFmtId="49" fontId="4" fillId="5" borderId="2" xfId="0" applyNumberFormat="1" applyFont="1" applyFill="1" applyBorder="1" applyAlignment="1">
      <alignment horizontal="center" vertical="center"/>
    </xf>
    <xf numFmtId="165" fontId="4" fillId="5" borderId="2" xfId="0" applyNumberFormat="1" applyFont="1" applyFill="1" applyBorder="1" applyAlignment="1">
      <alignment horizontal="center" vertical="center" wrapText="1"/>
    </xf>
    <xf numFmtId="49" fontId="5" fillId="0" borderId="2" xfId="0" applyNumberFormat="1" applyFont="1" applyBorder="1" applyAlignment="1">
      <alignment horizontal="center" vertical="center"/>
    </xf>
    <xf numFmtId="165" fontId="5" fillId="0" borderId="2" xfId="0" applyNumberFormat="1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6" borderId="2" xfId="0" applyFont="1" applyFill="1" applyBorder="1" applyAlignment="1">
      <alignment horizontal="center" vertical="center"/>
    </xf>
    <xf numFmtId="165" fontId="5" fillId="6" borderId="2" xfId="0" applyNumberFormat="1" applyFont="1" applyFill="1" applyBorder="1" applyAlignment="1">
      <alignment horizontal="center" vertical="center"/>
    </xf>
    <xf numFmtId="0" fontId="0" fillId="6" borderId="2" xfId="0" applyFill="1" applyBorder="1" applyAlignment="1">
      <alignment horizontal="center" vertical="center"/>
    </xf>
    <xf numFmtId="165" fontId="0" fillId="6" borderId="2" xfId="0" applyNumberFormat="1" applyFill="1" applyBorder="1" applyAlignment="1">
      <alignment horizontal="center" vertical="center"/>
    </xf>
    <xf numFmtId="166" fontId="0" fillId="0" borderId="2" xfId="0" applyNumberFormat="1" applyBorder="1" applyAlignment="1">
      <alignment horizontal="center" vertical="center"/>
    </xf>
    <xf numFmtId="0" fontId="6" fillId="7" borderId="2" xfId="0" applyFont="1" applyFill="1" applyBorder="1" applyAlignment="1">
      <alignment horizontal="center" vertical="center"/>
    </xf>
    <xf numFmtId="165" fontId="4" fillId="7" borderId="2" xfId="0" applyNumberFormat="1" applyFont="1" applyFill="1" applyBorder="1" applyAlignment="1">
      <alignment horizontal="center" vertical="center"/>
    </xf>
    <xf numFmtId="0" fontId="5" fillId="0" borderId="2" xfId="1" applyFont="1" applyBorder="1" applyAlignment="1">
      <alignment horizontal="center" vertical="center"/>
    </xf>
    <xf numFmtId="165" fontId="0" fillId="0" borderId="2" xfId="0" applyNumberFormat="1" applyBorder="1" applyAlignment="1">
      <alignment horizontal="center" vertical="center"/>
    </xf>
    <xf numFmtId="165" fontId="7" fillId="0" borderId="2" xfId="0" applyNumberFormat="1" applyFont="1" applyBorder="1" applyAlignment="1">
      <alignment horizontal="center" vertical="center"/>
    </xf>
    <xf numFmtId="165" fontId="6" fillId="6" borderId="2" xfId="0" applyNumberFormat="1" applyFont="1" applyFill="1" applyBorder="1" applyAlignment="1">
      <alignment horizontal="center" vertical="center"/>
    </xf>
    <xf numFmtId="0" fontId="5" fillId="8" borderId="2" xfId="0" applyFont="1" applyFill="1" applyBorder="1" applyAlignment="1">
      <alignment horizontal="center" vertical="center"/>
    </xf>
    <xf numFmtId="165" fontId="0" fillId="8" borderId="2" xfId="0" applyNumberForma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4" fillId="7" borderId="2" xfId="0" applyFont="1" applyFill="1" applyBorder="1" applyAlignment="1">
      <alignment horizontal="center" vertical="center"/>
    </xf>
    <xf numFmtId="0" fontId="0" fillId="8" borderId="2" xfId="0" applyFill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165" fontId="4" fillId="0" borderId="2" xfId="0" applyNumberFormat="1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5" fillId="9" borderId="2" xfId="0" applyFont="1" applyFill="1" applyBorder="1" applyAlignment="1">
      <alignment horizontal="center" vertical="center"/>
    </xf>
    <xf numFmtId="165" fontId="0" fillId="9" borderId="2" xfId="0" applyNumberFormat="1" applyFill="1" applyBorder="1" applyAlignment="1">
      <alignment horizontal="center" vertical="center"/>
    </xf>
    <xf numFmtId="49" fontId="6" fillId="7" borderId="2" xfId="0" applyNumberFormat="1" applyFont="1" applyFill="1" applyBorder="1" applyAlignment="1">
      <alignment horizontal="center" vertical="center"/>
    </xf>
    <xf numFmtId="0" fontId="6" fillId="7" borderId="2" xfId="1" applyFont="1" applyFill="1" applyBorder="1" applyAlignment="1">
      <alignment horizontal="center" vertical="center"/>
    </xf>
    <xf numFmtId="49" fontId="5" fillId="8" borderId="2" xfId="0" applyNumberFormat="1" applyFont="1" applyFill="1" applyBorder="1" applyAlignment="1">
      <alignment horizontal="center" vertical="center"/>
    </xf>
    <xf numFmtId="165" fontId="5" fillId="8" borderId="2" xfId="0" applyNumberFormat="1" applyFont="1" applyFill="1" applyBorder="1" applyAlignment="1">
      <alignment horizontal="center" vertical="center"/>
    </xf>
    <xf numFmtId="0" fontId="7" fillId="8" borderId="2" xfId="0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0" fillId="0" borderId="0" xfId="0" applyAlignment="1">
      <alignment horizontal="center" vertical="top"/>
    </xf>
    <xf numFmtId="0" fontId="0" fillId="10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167" fontId="0" fillId="0" borderId="0" xfId="0" applyNumberFormat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11" borderId="2" xfId="0" applyFill="1" applyBorder="1" applyAlignment="1">
      <alignment horizontal="center" vertical="center"/>
    </xf>
    <xf numFmtId="0" fontId="4" fillId="11" borderId="2" xfId="0" applyFont="1" applyFill="1" applyBorder="1" applyAlignment="1">
      <alignment horizontal="center" vertical="center" wrapText="1"/>
    </xf>
    <xf numFmtId="0" fontId="4" fillId="11" borderId="2" xfId="0" applyFont="1" applyFill="1" applyBorder="1" applyAlignment="1">
      <alignment horizontal="center" vertical="center"/>
    </xf>
    <xf numFmtId="167" fontId="4" fillId="11" borderId="2" xfId="0" applyNumberFormat="1" applyFont="1" applyFill="1" applyBorder="1" applyAlignment="1">
      <alignment horizontal="center" vertical="center" wrapText="1"/>
    </xf>
    <xf numFmtId="0" fontId="9" fillId="12" borderId="2" xfId="0" applyFont="1" applyFill="1" applyBorder="1" applyAlignment="1">
      <alignment horizontal="center" vertical="center" wrapText="1"/>
    </xf>
    <xf numFmtId="0" fontId="4" fillId="10" borderId="2" xfId="0" applyFont="1" applyFill="1" applyBorder="1" applyAlignment="1">
      <alignment horizontal="center" vertical="center" wrapText="1"/>
    </xf>
    <xf numFmtId="167" fontId="4" fillId="11" borderId="2" xfId="0" applyNumberFormat="1" applyFont="1" applyFill="1" applyBorder="1" applyAlignment="1">
      <alignment horizontal="center" vertical="center"/>
    </xf>
    <xf numFmtId="0" fontId="9" fillId="11" borderId="2" xfId="0" applyFont="1" applyFill="1" applyBorder="1" applyAlignment="1">
      <alignment horizontal="center" vertical="center"/>
    </xf>
    <xf numFmtId="0" fontId="9" fillId="10" borderId="2" xfId="0" applyFont="1" applyFill="1" applyBorder="1" applyAlignment="1">
      <alignment horizontal="center" vertical="center"/>
    </xf>
    <xf numFmtId="0" fontId="4" fillId="11" borderId="2" xfId="0" applyFont="1" applyFill="1" applyBorder="1" applyAlignment="1">
      <alignment horizontal="left" vertical="center"/>
    </xf>
    <xf numFmtId="0" fontId="22" fillId="0" borderId="0" xfId="3" applyAlignment="1">
      <alignment horizontal="center" vertical="center"/>
    </xf>
    <xf numFmtId="0" fontId="10" fillId="13" borderId="0" xfId="0" applyFont="1" applyFill="1" applyAlignment="1">
      <alignment horizontal="left" vertical="center"/>
    </xf>
    <xf numFmtId="0" fontId="8" fillId="0" borderId="2" xfId="0" applyFont="1" applyBorder="1" applyAlignment="1">
      <alignment horizontal="center" vertical="center"/>
    </xf>
    <xf numFmtId="0" fontId="8" fillId="0" borderId="0" xfId="0" applyFont="1" applyAlignment="1">
      <alignment horizontal="left" vertical="center"/>
    </xf>
    <xf numFmtId="167" fontId="0" fillId="10" borderId="0" xfId="0" applyNumberFormat="1" applyFill="1" applyAlignment="1">
      <alignment horizontal="center" vertical="center"/>
    </xf>
    <xf numFmtId="0" fontId="0" fillId="10" borderId="0" xfId="0" applyFill="1" applyAlignment="1">
      <alignment horizontal="left" vertical="center"/>
    </xf>
    <xf numFmtId="0" fontId="1" fillId="0" borderId="0" xfId="0" applyFont="1" applyAlignment="1">
      <alignment horizontal="center" vertical="top"/>
    </xf>
    <xf numFmtId="0" fontId="11" fillId="0" borderId="0" xfId="0" applyFont="1" applyAlignment="1">
      <alignment horizontal="center" vertical="center"/>
    </xf>
    <xf numFmtId="0" fontId="11" fillId="14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167" fontId="1" fillId="0" borderId="0" xfId="0" applyNumberFormat="1" applyFont="1" applyAlignment="1">
      <alignment horizontal="left" vertical="center"/>
    </xf>
    <xf numFmtId="167" fontId="1" fillId="0" borderId="0" xfId="0" applyNumberFormat="1" applyFont="1" applyAlignment="1">
      <alignment horizontal="center" vertical="center"/>
    </xf>
    <xf numFmtId="0" fontId="1" fillId="0" borderId="2" xfId="0" applyFont="1" applyBorder="1" applyAlignment="1">
      <alignment horizontal="left" vertical="top"/>
    </xf>
    <xf numFmtId="0" fontId="3" fillId="11" borderId="2" xfId="0" applyFont="1" applyFill="1" applyBorder="1" applyAlignment="1">
      <alignment horizontal="left" vertical="top" wrapText="1"/>
    </xf>
    <xf numFmtId="0" fontId="3" fillId="11" borderId="2" xfId="0" applyFont="1" applyFill="1" applyBorder="1" applyAlignment="1">
      <alignment horizontal="left" vertical="top"/>
    </xf>
    <xf numFmtId="167" fontId="3" fillId="11" borderId="2" xfId="0" applyNumberFormat="1" applyFont="1" applyFill="1" applyBorder="1" applyAlignment="1">
      <alignment horizontal="left" vertical="top" wrapText="1"/>
    </xf>
    <xf numFmtId="167" fontId="3" fillId="11" borderId="2" xfId="0" applyNumberFormat="1" applyFont="1" applyFill="1" applyBorder="1" applyAlignment="1">
      <alignment horizontal="left" vertical="center" wrapText="1"/>
    </xf>
    <xf numFmtId="0" fontId="3" fillId="10" borderId="2" xfId="0" applyFont="1" applyFill="1" applyBorder="1" applyAlignment="1">
      <alignment horizontal="center" vertical="top" wrapText="1"/>
    </xf>
    <xf numFmtId="0" fontId="3" fillId="11" borderId="2" xfId="0" applyFont="1" applyFill="1" applyBorder="1" applyAlignment="1">
      <alignment horizontal="center" vertical="top"/>
    </xf>
    <xf numFmtId="167" fontId="3" fillId="11" borderId="2" xfId="0" applyNumberFormat="1" applyFont="1" applyFill="1" applyBorder="1" applyAlignment="1">
      <alignment horizontal="center" vertical="top"/>
    </xf>
    <xf numFmtId="167" fontId="3" fillId="11" borderId="0" xfId="0" applyNumberFormat="1" applyFont="1" applyFill="1" applyAlignment="1">
      <alignment horizontal="center" vertical="top"/>
    </xf>
    <xf numFmtId="0" fontId="11" fillId="0" borderId="0" xfId="0" applyFont="1" applyAlignment="1">
      <alignment horizontal="left" vertical="center"/>
    </xf>
    <xf numFmtId="0" fontId="1" fillId="0" borderId="0" xfId="0" applyFont="1" applyAlignment="1">
      <alignment vertical="center"/>
    </xf>
    <xf numFmtId="2" fontId="1" fillId="0" borderId="0" xfId="0" applyNumberFormat="1" applyFont="1" applyAlignment="1">
      <alignment horizontal="left" vertical="center"/>
    </xf>
    <xf numFmtId="167" fontId="11" fillId="15" borderId="0" xfId="0" applyNumberFormat="1" applyFont="1" applyFill="1" applyAlignment="1">
      <alignment horizontal="left" vertical="center"/>
    </xf>
    <xf numFmtId="0" fontId="13" fillId="0" borderId="0" xfId="0" applyFont="1" applyAlignment="1">
      <alignment horizontal="left" vertical="center"/>
    </xf>
    <xf numFmtId="0" fontId="11" fillId="10" borderId="0" xfId="0" applyFont="1" applyFill="1" applyAlignment="1">
      <alignment horizontal="center" vertical="center"/>
    </xf>
    <xf numFmtId="167" fontId="11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left" vertical="center"/>
    </xf>
    <xf numFmtId="2" fontId="14" fillId="0" borderId="0" xfId="0" applyNumberFormat="1" applyFont="1" applyAlignment="1">
      <alignment horizontal="left" vertical="center"/>
    </xf>
    <xf numFmtId="167" fontId="1" fillId="15" borderId="0" xfId="0" applyNumberFormat="1" applyFont="1" applyFill="1" applyAlignment="1">
      <alignment horizontal="left" vertical="center"/>
    </xf>
    <xf numFmtId="167" fontId="14" fillId="15" borderId="0" xfId="0" applyNumberFormat="1" applyFont="1" applyFill="1" applyAlignment="1">
      <alignment horizontal="left" vertical="center"/>
    </xf>
    <xf numFmtId="0" fontId="1" fillId="10" borderId="0" xfId="0" applyFont="1" applyFill="1" applyAlignment="1">
      <alignment horizontal="center" vertical="center"/>
    </xf>
    <xf numFmtId="0" fontId="1" fillId="16" borderId="0" xfId="0" applyFont="1" applyFill="1"/>
    <xf numFmtId="0" fontId="1" fillId="0" borderId="0" xfId="0" applyFont="1"/>
    <xf numFmtId="168" fontId="14" fillId="0" borderId="0" xfId="0" applyNumberFormat="1" applyFont="1" applyAlignment="1">
      <alignment horizontal="left" vertical="center"/>
    </xf>
    <xf numFmtId="168" fontId="1" fillId="0" borderId="0" xfId="0" applyNumberFormat="1" applyFont="1" applyAlignment="1">
      <alignment horizontal="left" vertical="center"/>
    </xf>
    <xf numFmtId="0" fontId="15" fillId="0" borderId="0" xfId="0" applyFont="1" applyAlignment="1">
      <alignment horizontal="left" vertical="center"/>
    </xf>
    <xf numFmtId="0" fontId="1" fillId="14" borderId="0" xfId="0" applyFont="1" applyFill="1" applyAlignment="1">
      <alignment horizontal="left" vertical="center"/>
    </xf>
    <xf numFmtId="2" fontId="1" fillId="14" borderId="0" xfId="0" applyNumberFormat="1" applyFont="1" applyFill="1" applyAlignment="1">
      <alignment horizontal="left" vertical="center"/>
    </xf>
    <xf numFmtId="167" fontId="1" fillId="14" borderId="0" xfId="0" applyNumberFormat="1" applyFont="1" applyFill="1" applyAlignment="1">
      <alignment horizontal="left" vertical="center"/>
    </xf>
    <xf numFmtId="0" fontId="1" fillId="14" borderId="0" xfId="0" applyFont="1" applyFill="1" applyAlignment="1">
      <alignment horizontal="center" vertical="center"/>
    </xf>
    <xf numFmtId="167" fontId="11" fillId="14" borderId="0" xfId="0" applyNumberFormat="1" applyFont="1" applyFill="1" applyAlignment="1">
      <alignment horizontal="center" vertical="center"/>
    </xf>
    <xf numFmtId="0" fontId="13" fillId="14" borderId="0" xfId="0" applyFont="1" applyFill="1" applyAlignment="1">
      <alignment horizontal="left" vertical="center"/>
    </xf>
    <xf numFmtId="0" fontId="1" fillId="14" borderId="0" xfId="0" applyFont="1" applyFill="1"/>
    <xf numFmtId="168" fontId="1" fillId="14" borderId="0" xfId="0" applyNumberFormat="1" applyFont="1" applyFill="1" applyAlignment="1">
      <alignment horizontal="left" vertical="center"/>
    </xf>
    <xf numFmtId="167" fontId="1" fillId="14" borderId="0" xfId="0" applyNumberFormat="1" applyFont="1" applyFill="1" applyAlignment="1">
      <alignment horizontal="center" vertical="center"/>
    </xf>
    <xf numFmtId="0" fontId="1" fillId="17" borderId="0" xfId="0" applyFont="1" applyFill="1" applyAlignment="1">
      <alignment horizontal="left" vertical="center"/>
    </xf>
    <xf numFmtId="2" fontId="1" fillId="17" borderId="0" xfId="0" applyNumberFormat="1" applyFont="1" applyFill="1" applyAlignment="1">
      <alignment horizontal="left" vertical="center"/>
    </xf>
    <xf numFmtId="167" fontId="1" fillId="17" borderId="0" xfId="0" applyNumberFormat="1" applyFont="1" applyFill="1" applyAlignment="1">
      <alignment horizontal="left" vertical="center"/>
    </xf>
    <xf numFmtId="0" fontId="13" fillId="17" borderId="0" xfId="0" applyFont="1" applyFill="1" applyAlignment="1">
      <alignment horizontal="left" vertical="center"/>
    </xf>
    <xf numFmtId="0" fontId="11" fillId="17" borderId="0" xfId="0" applyFont="1" applyFill="1" applyAlignment="1">
      <alignment horizontal="center" vertical="center"/>
    </xf>
    <xf numFmtId="167" fontId="11" fillId="17" borderId="0" xfId="0" applyNumberFormat="1" applyFont="1" applyFill="1" applyAlignment="1">
      <alignment horizontal="center" vertical="center"/>
    </xf>
    <xf numFmtId="0" fontId="1" fillId="17" borderId="0" xfId="0" applyFont="1" applyFill="1"/>
    <xf numFmtId="168" fontId="1" fillId="17" borderId="0" xfId="0" applyNumberFormat="1" applyFont="1" applyFill="1" applyAlignment="1">
      <alignment horizontal="left" vertical="center"/>
    </xf>
    <xf numFmtId="0" fontId="1" fillId="17" borderId="0" xfId="0" applyFont="1" applyFill="1" applyAlignment="1">
      <alignment horizontal="center" vertical="center"/>
    </xf>
    <xf numFmtId="167" fontId="1" fillId="17" borderId="0" xfId="0" applyNumberFormat="1" applyFont="1" applyFill="1" applyAlignment="1">
      <alignment horizontal="center" vertical="center"/>
    </xf>
    <xf numFmtId="0" fontId="12" fillId="0" borderId="2" xfId="0" applyFont="1" applyBorder="1" applyAlignment="1">
      <alignment horizontal="left" vertical="center"/>
    </xf>
    <xf numFmtId="0" fontId="12" fillId="18" borderId="2" xfId="0" applyFont="1" applyFill="1" applyBorder="1" applyAlignment="1">
      <alignment horizontal="left" vertical="center"/>
    </xf>
    <xf numFmtId="1" fontId="12" fillId="18" borderId="2" xfId="0" applyNumberFormat="1" applyFont="1" applyFill="1" applyBorder="1" applyAlignment="1">
      <alignment horizontal="left" vertical="center"/>
    </xf>
    <xf numFmtId="167" fontId="12" fillId="18" borderId="2" xfId="0" applyNumberFormat="1" applyFont="1" applyFill="1" applyBorder="1" applyAlignment="1">
      <alignment horizontal="left" vertical="center"/>
    </xf>
    <xf numFmtId="0" fontId="12" fillId="18" borderId="2" xfId="0" applyFont="1" applyFill="1" applyBorder="1" applyAlignment="1">
      <alignment horizontal="center" vertical="center"/>
    </xf>
    <xf numFmtId="167" fontId="12" fillId="18" borderId="2" xfId="0" applyNumberFormat="1" applyFont="1" applyFill="1" applyBorder="1" applyAlignment="1">
      <alignment horizontal="center" vertical="center"/>
    </xf>
    <xf numFmtId="167" fontId="12" fillId="18" borderId="0" xfId="0" applyNumberFormat="1" applyFont="1" applyFill="1" applyAlignment="1">
      <alignment horizontal="center" vertical="center"/>
    </xf>
    <xf numFmtId="167" fontId="11" fillId="0" borderId="0" xfId="0" applyNumberFormat="1" applyFont="1" applyAlignment="1">
      <alignment horizontal="left" vertical="center"/>
    </xf>
    <xf numFmtId="0" fontId="16" fillId="0" borderId="0" xfId="0" applyFont="1" applyAlignment="1">
      <alignment horizontal="left" vertical="center"/>
    </xf>
    <xf numFmtId="0" fontId="17" fillId="0" borderId="0" xfId="0" applyFont="1" applyAlignment="1">
      <alignment horizontal="left" vertical="center"/>
    </xf>
    <xf numFmtId="0" fontId="18" fillId="0" borderId="0" xfId="0" applyFont="1" applyAlignment="1">
      <alignment horizontal="left" vertical="center"/>
    </xf>
    <xf numFmtId="0" fontId="18" fillId="0" borderId="0" xfId="0" applyFont="1" applyAlignment="1">
      <alignment horizontal="left" vertical="center" wrapText="1"/>
    </xf>
    <xf numFmtId="4" fontId="18" fillId="0" borderId="0" xfId="0" applyNumberFormat="1" applyFont="1" applyAlignment="1">
      <alignment horizontal="left" vertical="center"/>
    </xf>
  </cellXfs>
  <cellStyles count="4">
    <cellStyle name="Normal" xfId="0" builtinId="0"/>
    <cellStyle name="常规 2" xfId="3" xr:uid="{00000000-0005-0000-0000-000033000000}"/>
    <cellStyle name="常规 2 2" xfId="1" xr:uid="{00000000-0005-0000-0000-000031000000}"/>
    <cellStyle name="样式 1" xfId="2" xr:uid="{00000000-0005-0000-0000-000032000000}"/>
  </cellStyles>
  <dxfs count="35"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9" defaultPivotStyle="PivotStyleLight16"/>
  <colors>
    <mruColors>
      <color rgb="FF0000FF"/>
      <color rgb="FFFFFF00"/>
      <color rgb="FF000000"/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app.s2sell.com/product/4507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Q159"/>
  <sheetViews>
    <sheetView tabSelected="1" workbookViewId="0">
      <pane xSplit="1" ySplit="1" topLeftCell="B6" activePane="bottomRight" state="frozen"/>
      <selection pane="topRight"/>
      <selection pane="bottomLeft"/>
      <selection pane="bottomRight" activeCell="Q10" sqref="Q10"/>
    </sheetView>
  </sheetViews>
  <sheetFormatPr defaultColWidth="14.81640625" defaultRowHeight="14.5"/>
  <cols>
    <col min="1" max="1" width="19.7265625" style="16" hidden="1" customWidth="1"/>
    <col min="2" max="2" width="13.26953125" style="16" customWidth="1"/>
    <col min="3" max="3" width="21.26953125" style="16" hidden="1" customWidth="1"/>
    <col min="4" max="4" width="16" style="16" customWidth="1"/>
    <col min="5" max="5" width="13.54296875" style="16" customWidth="1"/>
    <col min="6" max="6" width="9.453125" style="16" customWidth="1"/>
    <col min="7" max="7" width="9.7265625" style="16" customWidth="1"/>
    <col min="8" max="8" width="21.54296875" style="16" customWidth="1"/>
    <col min="9" max="9" width="13.54296875" style="16" customWidth="1"/>
    <col min="10" max="10" width="13.26953125" style="78" customWidth="1"/>
    <col min="11" max="11" width="8" style="78" customWidth="1"/>
    <col min="12" max="12" width="17.7265625" style="76" customWidth="1"/>
    <col min="13" max="13" width="12.81640625" style="76" customWidth="1"/>
    <col min="14" max="14" width="13.7265625" style="79" customWidth="1"/>
    <col min="15" max="15" width="16.54296875" style="79" customWidth="1"/>
    <col min="16" max="16" width="14" style="79" customWidth="1"/>
    <col min="17" max="17" width="29.1796875" style="79" customWidth="1"/>
    <col min="18" max="16384" width="14.81640625" style="76"/>
  </cols>
  <sheetData>
    <row r="1" spans="1:17" s="73" customFormat="1" ht="29">
      <c r="A1" s="80" t="s">
        <v>0</v>
      </c>
      <c r="B1" s="81" t="s">
        <v>1</v>
      </c>
      <c r="C1" s="81" t="s">
        <v>2</v>
      </c>
      <c r="D1" s="82" t="s">
        <v>3</v>
      </c>
      <c r="E1" s="82" t="s">
        <v>4</v>
      </c>
      <c r="F1" s="82" t="s">
        <v>5</v>
      </c>
      <c r="G1" s="82" t="s">
        <v>6</v>
      </c>
      <c r="H1" s="82" t="s">
        <v>7</v>
      </c>
      <c r="I1" s="81" t="s">
        <v>8</v>
      </c>
      <c r="J1" s="83" t="s">
        <v>9</v>
      </c>
      <c r="K1" s="84" t="s">
        <v>10</v>
      </c>
      <c r="L1" s="85" t="s">
        <v>11</v>
      </c>
      <c r="M1" s="86" t="s">
        <v>12</v>
      </c>
      <c r="N1" s="87" t="s">
        <v>13</v>
      </c>
      <c r="O1" s="87" t="s">
        <v>14</v>
      </c>
      <c r="P1" s="87" t="s">
        <v>15</v>
      </c>
      <c r="Q1" s="88" t="s">
        <v>315</v>
      </c>
    </row>
    <row r="2" spans="1:17" s="74" customFormat="1" ht="16" customHeight="1">
      <c r="A2" s="89" t="s">
        <v>16</v>
      </c>
      <c r="B2" s="89" t="s">
        <v>17</v>
      </c>
      <c r="C2" s="90" t="s">
        <v>18</v>
      </c>
      <c r="D2" s="16" t="s">
        <v>19</v>
      </c>
      <c r="E2" s="89" t="s">
        <v>20</v>
      </c>
      <c r="F2" s="16">
        <v>2</v>
      </c>
      <c r="G2" s="91">
        <v>11.56</v>
      </c>
      <c r="H2" s="16" t="s">
        <v>21</v>
      </c>
      <c r="I2" s="16">
        <v>6.5584080000000003E-2</v>
      </c>
      <c r="J2" s="92">
        <v>33.9</v>
      </c>
      <c r="K2" s="93">
        <v>50</v>
      </c>
      <c r="L2" s="94"/>
      <c r="M2" s="74">
        <f>L2/F2</f>
        <v>0</v>
      </c>
      <c r="N2" s="95">
        <f>M2*G2</f>
        <v>0</v>
      </c>
      <c r="O2" s="95">
        <f>I2*M2</f>
        <v>0</v>
      </c>
      <c r="P2" s="95">
        <f>L2*J2</f>
        <v>0</v>
      </c>
      <c r="Q2" s="95" t="s">
        <v>18</v>
      </c>
    </row>
    <row r="3" spans="1:17" s="74" customFormat="1" ht="16" customHeight="1">
      <c r="A3" s="89"/>
      <c r="B3" s="89" t="s">
        <v>17</v>
      </c>
      <c r="C3" s="90"/>
      <c r="D3" s="16" t="s">
        <v>22</v>
      </c>
      <c r="E3" s="89" t="s">
        <v>20</v>
      </c>
      <c r="F3" s="16">
        <v>2</v>
      </c>
      <c r="G3" s="91">
        <v>12.02</v>
      </c>
      <c r="H3" s="16" t="s">
        <v>23</v>
      </c>
      <c r="I3" s="16">
        <v>6.1746049999999997E-2</v>
      </c>
      <c r="J3" s="92">
        <v>48.4</v>
      </c>
      <c r="K3" s="93">
        <v>50</v>
      </c>
      <c r="L3" s="94"/>
      <c r="M3" s="74">
        <f>L3/F3</f>
        <v>0</v>
      </c>
      <c r="N3" s="95">
        <f>M3*G3</f>
        <v>0</v>
      </c>
      <c r="O3" s="95">
        <f>I3*M3</f>
        <v>0</v>
      </c>
      <c r="P3" s="95">
        <f>L3*J3</f>
        <v>0</v>
      </c>
      <c r="Q3" s="95" t="s">
        <v>24</v>
      </c>
    </row>
    <row r="4" spans="1:17" s="74" customFormat="1" ht="16" customHeight="1">
      <c r="A4" s="89"/>
      <c r="B4" s="89" t="s">
        <v>17</v>
      </c>
      <c r="C4" s="90"/>
      <c r="D4" s="16" t="s">
        <v>25</v>
      </c>
      <c r="E4" s="89" t="s">
        <v>26</v>
      </c>
      <c r="F4" s="16">
        <v>2</v>
      </c>
      <c r="G4" s="91">
        <v>12.22</v>
      </c>
      <c r="H4" s="96" t="s">
        <v>27</v>
      </c>
      <c r="I4" s="96">
        <v>6.4913799999999994E-2</v>
      </c>
      <c r="J4" s="92">
        <v>45</v>
      </c>
      <c r="K4" s="93">
        <v>50</v>
      </c>
      <c r="L4" s="94"/>
      <c r="M4" s="74">
        <f t="shared" ref="M4:M8" si="0">L4/F4</f>
        <v>0</v>
      </c>
      <c r="N4" s="95">
        <f t="shared" ref="N4:N8" si="1">M4*G4</f>
        <v>0</v>
      </c>
      <c r="O4" s="95">
        <f t="shared" ref="O4:O8" si="2">I4*M4</f>
        <v>0</v>
      </c>
      <c r="P4" s="95">
        <f t="shared" ref="P4:P8" si="3">L4*J4</f>
        <v>0</v>
      </c>
      <c r="Q4" s="95" t="s">
        <v>28</v>
      </c>
    </row>
    <row r="5" spans="1:17" s="74" customFormat="1" ht="16" customHeight="1">
      <c r="A5" s="89"/>
      <c r="B5" s="89" t="s">
        <v>17</v>
      </c>
      <c r="C5" s="90"/>
      <c r="D5" s="16" t="s">
        <v>25</v>
      </c>
      <c r="E5" s="89" t="s">
        <v>29</v>
      </c>
      <c r="F5" s="16">
        <v>2</v>
      </c>
      <c r="G5" s="91">
        <v>12.22</v>
      </c>
      <c r="H5" s="96" t="s">
        <v>27</v>
      </c>
      <c r="I5" s="96">
        <v>6.4913799999999994E-2</v>
      </c>
      <c r="J5" s="92">
        <v>45</v>
      </c>
      <c r="K5" s="93">
        <v>50</v>
      </c>
      <c r="L5" s="94"/>
      <c r="M5" s="74">
        <f t="shared" si="0"/>
        <v>0</v>
      </c>
      <c r="N5" s="95">
        <f t="shared" si="1"/>
        <v>0</v>
      </c>
      <c r="O5" s="95">
        <f t="shared" si="2"/>
        <v>0</v>
      </c>
      <c r="P5" s="95">
        <f t="shared" si="3"/>
        <v>0</v>
      </c>
      <c r="Q5" s="95" t="s">
        <v>30</v>
      </c>
    </row>
    <row r="6" spans="1:17" s="74" customFormat="1" ht="16" customHeight="1">
      <c r="A6" s="89" t="s">
        <v>32</v>
      </c>
      <c r="B6" s="89" t="s">
        <v>17</v>
      </c>
      <c r="C6" s="90" t="s">
        <v>33</v>
      </c>
      <c r="D6" s="16" t="s">
        <v>34</v>
      </c>
      <c r="E6" s="89" t="s">
        <v>20</v>
      </c>
      <c r="F6" s="16">
        <v>2</v>
      </c>
      <c r="G6" s="97">
        <v>12.35</v>
      </c>
      <c r="H6" s="96" t="s">
        <v>35</v>
      </c>
      <c r="I6" s="96">
        <v>6.0655229999999997E-2</v>
      </c>
      <c r="J6" s="92">
        <v>54.9</v>
      </c>
      <c r="K6" s="93">
        <v>50</v>
      </c>
      <c r="L6" s="94"/>
      <c r="M6" s="74">
        <f t="shared" si="0"/>
        <v>0</v>
      </c>
      <c r="N6" s="95">
        <f t="shared" si="1"/>
        <v>0</v>
      </c>
      <c r="O6" s="95">
        <f t="shared" si="2"/>
        <v>0</v>
      </c>
      <c r="P6" s="95">
        <f t="shared" si="3"/>
        <v>0</v>
      </c>
      <c r="Q6" s="95" t="s">
        <v>33</v>
      </c>
    </row>
    <row r="7" spans="1:17" s="74" customFormat="1" ht="16" customHeight="1">
      <c r="A7" s="89" t="s">
        <v>36</v>
      </c>
      <c r="B7" s="89" t="s">
        <v>17</v>
      </c>
      <c r="C7" s="90" t="s">
        <v>37</v>
      </c>
      <c r="D7" s="16" t="s">
        <v>34</v>
      </c>
      <c r="E7" s="89" t="s">
        <v>26</v>
      </c>
      <c r="F7" s="16">
        <v>2</v>
      </c>
      <c r="G7" s="97">
        <v>12.35</v>
      </c>
      <c r="H7" s="96" t="s">
        <v>35</v>
      </c>
      <c r="I7" s="96">
        <v>6.0655229999999997E-2</v>
      </c>
      <c r="J7" s="98">
        <v>54.9</v>
      </c>
      <c r="K7" s="93">
        <v>50</v>
      </c>
      <c r="L7" s="94"/>
      <c r="M7" s="74">
        <f t="shared" si="0"/>
        <v>0</v>
      </c>
      <c r="N7" s="95">
        <f t="shared" si="1"/>
        <v>0</v>
      </c>
      <c r="O7" s="95">
        <f t="shared" si="2"/>
        <v>0</v>
      </c>
      <c r="P7" s="95">
        <f t="shared" si="3"/>
        <v>0</v>
      </c>
      <c r="Q7" s="95" t="s">
        <v>37</v>
      </c>
    </row>
    <row r="8" spans="1:17" s="74" customFormat="1" ht="16" customHeight="1">
      <c r="A8" s="89" t="s">
        <v>36</v>
      </c>
      <c r="B8" s="89" t="s">
        <v>17</v>
      </c>
      <c r="C8" s="90" t="s">
        <v>37</v>
      </c>
      <c r="D8" s="16" t="s">
        <v>34</v>
      </c>
      <c r="E8" s="16" t="s">
        <v>38</v>
      </c>
      <c r="F8" s="16">
        <v>2</v>
      </c>
      <c r="G8" s="97">
        <v>12.35</v>
      </c>
      <c r="H8" s="96" t="s">
        <v>35</v>
      </c>
      <c r="I8" s="96">
        <v>6.0655229999999997E-2</v>
      </c>
      <c r="J8" s="98">
        <v>54.9</v>
      </c>
      <c r="K8" s="93">
        <v>50</v>
      </c>
      <c r="L8" s="94"/>
      <c r="M8" s="74">
        <f t="shared" si="0"/>
        <v>0</v>
      </c>
      <c r="N8" s="95">
        <f t="shared" si="1"/>
        <v>0</v>
      </c>
      <c r="O8" s="95">
        <f t="shared" si="2"/>
        <v>0</v>
      </c>
      <c r="P8" s="95">
        <f t="shared" si="3"/>
        <v>0</v>
      </c>
      <c r="Q8" s="95" t="s">
        <v>37</v>
      </c>
    </row>
    <row r="9" spans="1:17" ht="16" customHeight="1">
      <c r="A9" s="89" t="s">
        <v>32</v>
      </c>
      <c r="B9" s="89" t="s">
        <v>17</v>
      </c>
      <c r="C9" s="90"/>
      <c r="D9" s="16" t="s">
        <v>39</v>
      </c>
      <c r="E9" s="89" t="s">
        <v>20</v>
      </c>
      <c r="F9" s="16">
        <v>2</v>
      </c>
      <c r="G9" s="97">
        <v>12.35</v>
      </c>
      <c r="H9" s="96" t="s">
        <v>35</v>
      </c>
      <c r="I9" s="96">
        <v>6.0655229999999997E-2</v>
      </c>
      <c r="J9" s="98">
        <v>56.9</v>
      </c>
      <c r="K9" s="93">
        <v>50</v>
      </c>
      <c r="L9" s="94"/>
      <c r="M9" s="74">
        <f t="shared" ref="M9:M28" si="4">L9/F9</f>
        <v>0</v>
      </c>
      <c r="N9" s="95">
        <f t="shared" ref="N9:N28" si="5">M9*G9</f>
        <v>0</v>
      </c>
      <c r="O9" s="95">
        <f t="shared" ref="O9:O28" si="6">I9*M9</f>
        <v>0</v>
      </c>
      <c r="P9" s="95">
        <f t="shared" ref="P9:P28" si="7">L9*J9</f>
        <v>0</v>
      </c>
      <c r="Q9" s="95" t="s">
        <v>40</v>
      </c>
    </row>
    <row r="10" spans="1:17" ht="16" customHeight="1">
      <c r="A10" s="89" t="s">
        <v>36</v>
      </c>
      <c r="B10" s="89" t="s">
        <v>17</v>
      </c>
      <c r="C10" s="90"/>
      <c r="D10" s="16" t="s">
        <v>39</v>
      </c>
      <c r="E10" s="89" t="s">
        <v>26</v>
      </c>
      <c r="F10" s="16">
        <v>2</v>
      </c>
      <c r="G10" s="97">
        <v>12.35</v>
      </c>
      <c r="H10" s="96" t="s">
        <v>35</v>
      </c>
      <c r="I10" s="96">
        <v>6.0655229999999997E-2</v>
      </c>
      <c r="J10" s="98">
        <v>56.9</v>
      </c>
      <c r="K10" s="93">
        <v>50</v>
      </c>
      <c r="L10" s="94"/>
      <c r="M10" s="74">
        <f t="shared" si="4"/>
        <v>0</v>
      </c>
      <c r="N10" s="95">
        <f t="shared" si="5"/>
        <v>0</v>
      </c>
      <c r="O10" s="95">
        <f t="shared" si="6"/>
        <v>0</v>
      </c>
      <c r="P10" s="95">
        <f t="shared" si="7"/>
        <v>0</v>
      </c>
      <c r="Q10" s="95" t="s">
        <v>41</v>
      </c>
    </row>
    <row r="11" spans="1:17" s="74" customFormat="1" ht="16" customHeight="1">
      <c r="A11" s="89" t="s">
        <v>42</v>
      </c>
      <c r="B11" s="89" t="s">
        <v>17</v>
      </c>
      <c r="C11" s="90" t="s">
        <v>43</v>
      </c>
      <c r="D11" s="16" t="s">
        <v>44</v>
      </c>
      <c r="E11" s="16" t="s">
        <v>20</v>
      </c>
      <c r="F11" s="16">
        <v>2</v>
      </c>
      <c r="G11" s="91">
        <v>16.95</v>
      </c>
      <c r="H11" s="96" t="s">
        <v>45</v>
      </c>
      <c r="I11" s="96">
        <v>7.0355420000000002E-2</v>
      </c>
      <c r="J11" s="98">
        <v>62.3</v>
      </c>
      <c r="K11" s="93">
        <v>50</v>
      </c>
      <c r="L11" s="94"/>
      <c r="M11" s="74">
        <f t="shared" si="4"/>
        <v>0</v>
      </c>
      <c r="N11" s="95">
        <f t="shared" si="5"/>
        <v>0</v>
      </c>
      <c r="O11" s="95">
        <f t="shared" si="6"/>
        <v>0</v>
      </c>
      <c r="P11" s="95">
        <f t="shared" si="7"/>
        <v>0</v>
      </c>
      <c r="Q11" s="95" t="s">
        <v>46</v>
      </c>
    </row>
    <row r="12" spans="1:17" s="74" customFormat="1" ht="16" customHeight="1">
      <c r="A12" s="89" t="s">
        <v>42</v>
      </c>
      <c r="B12" s="89" t="s">
        <v>17</v>
      </c>
      <c r="C12" s="90" t="s">
        <v>43</v>
      </c>
      <c r="D12" s="16" t="s">
        <v>44</v>
      </c>
      <c r="E12" s="16" t="s">
        <v>26</v>
      </c>
      <c r="F12" s="16">
        <v>2</v>
      </c>
      <c r="G12" s="91">
        <v>16.95</v>
      </c>
      <c r="H12" s="96" t="s">
        <v>45</v>
      </c>
      <c r="I12" s="96">
        <v>7.0355420000000002E-2</v>
      </c>
      <c r="J12" s="98">
        <v>62.3</v>
      </c>
      <c r="K12" s="93">
        <v>50</v>
      </c>
      <c r="L12" s="94"/>
      <c r="M12" s="74">
        <f t="shared" si="4"/>
        <v>0</v>
      </c>
      <c r="N12" s="95">
        <f t="shared" si="5"/>
        <v>0</v>
      </c>
      <c r="O12" s="95">
        <f t="shared" si="6"/>
        <v>0</v>
      </c>
      <c r="P12" s="95">
        <f t="shared" si="7"/>
        <v>0</v>
      </c>
      <c r="Q12" s="95" t="s">
        <v>47</v>
      </c>
    </row>
    <row r="13" spans="1:17" s="74" customFormat="1" ht="16" customHeight="1">
      <c r="A13" s="89"/>
      <c r="B13" s="89" t="s">
        <v>17</v>
      </c>
      <c r="C13" s="90" t="s">
        <v>43</v>
      </c>
      <c r="D13" s="16" t="s">
        <v>44</v>
      </c>
      <c r="E13" s="16" t="s">
        <v>38</v>
      </c>
      <c r="F13" s="16">
        <v>2</v>
      </c>
      <c r="G13" s="91">
        <v>16.95</v>
      </c>
      <c r="H13" s="96" t="s">
        <v>45</v>
      </c>
      <c r="I13" s="96">
        <v>7.0355420000000002E-2</v>
      </c>
      <c r="J13" s="98">
        <v>62.3</v>
      </c>
      <c r="K13" s="93">
        <v>50</v>
      </c>
      <c r="L13" s="94"/>
      <c r="M13" s="74">
        <f t="shared" si="4"/>
        <v>0</v>
      </c>
      <c r="N13" s="95">
        <f t="shared" si="5"/>
        <v>0</v>
      </c>
      <c r="O13" s="95">
        <f t="shared" si="6"/>
        <v>0</v>
      </c>
      <c r="P13" s="95">
        <f t="shared" si="7"/>
        <v>0</v>
      </c>
      <c r="Q13" s="95" t="s">
        <v>48</v>
      </c>
    </row>
    <row r="14" spans="1:17" ht="16" customHeight="1">
      <c r="A14" s="89" t="s">
        <v>42</v>
      </c>
      <c r="B14" s="89" t="s">
        <v>17</v>
      </c>
      <c r="C14" s="90"/>
      <c r="D14" s="16" t="s">
        <v>49</v>
      </c>
      <c r="E14" s="16" t="s">
        <v>20</v>
      </c>
      <c r="F14" s="16">
        <v>2</v>
      </c>
      <c r="G14" s="91">
        <v>16.95</v>
      </c>
      <c r="H14" s="16" t="s">
        <v>50</v>
      </c>
      <c r="I14" s="16">
        <v>7.0656730000000001E-2</v>
      </c>
      <c r="J14" s="99">
        <v>67</v>
      </c>
      <c r="K14" s="93">
        <v>50</v>
      </c>
      <c r="L14" s="94"/>
      <c r="M14" s="74">
        <f t="shared" si="4"/>
        <v>0</v>
      </c>
      <c r="N14" s="95">
        <f t="shared" si="5"/>
        <v>0</v>
      </c>
      <c r="O14" s="95">
        <f t="shared" si="6"/>
        <v>0</v>
      </c>
      <c r="P14" s="95">
        <f t="shared" si="7"/>
        <v>0</v>
      </c>
      <c r="Q14" s="95" t="s">
        <v>51</v>
      </c>
    </row>
    <row r="15" spans="1:17" s="74" customFormat="1" ht="16" customHeight="1">
      <c r="A15" s="89" t="s">
        <v>52</v>
      </c>
      <c r="B15" s="89" t="s">
        <v>17</v>
      </c>
      <c r="C15" s="90" t="s">
        <v>53</v>
      </c>
      <c r="D15" s="16" t="s">
        <v>54</v>
      </c>
      <c r="E15" s="16" t="s">
        <v>20</v>
      </c>
      <c r="F15" s="16">
        <v>2</v>
      </c>
      <c r="G15" s="97">
        <v>12.31</v>
      </c>
      <c r="H15" s="96" t="s">
        <v>35</v>
      </c>
      <c r="I15" s="96">
        <v>6.0655229999999997E-2</v>
      </c>
      <c r="J15" s="98">
        <v>41.8</v>
      </c>
      <c r="K15" s="93">
        <v>100</v>
      </c>
      <c r="L15" s="94"/>
      <c r="M15" s="74">
        <f t="shared" si="4"/>
        <v>0</v>
      </c>
      <c r="N15" s="95">
        <f t="shared" si="5"/>
        <v>0</v>
      </c>
      <c r="O15" s="95">
        <f t="shared" si="6"/>
        <v>0</v>
      </c>
      <c r="P15" s="95">
        <f t="shared" si="7"/>
        <v>0</v>
      </c>
      <c r="Q15" s="95" t="s">
        <v>53</v>
      </c>
    </row>
    <row r="16" spans="1:17" ht="16" customHeight="1">
      <c r="A16" s="89" t="s">
        <v>52</v>
      </c>
      <c r="B16" s="89" t="s">
        <v>17</v>
      </c>
      <c r="C16" s="90"/>
      <c r="D16" s="16" t="s">
        <v>55</v>
      </c>
      <c r="E16" s="16" t="s">
        <v>20</v>
      </c>
      <c r="F16" s="16">
        <v>2</v>
      </c>
      <c r="G16" s="97">
        <v>12.31</v>
      </c>
      <c r="H16" s="96" t="s">
        <v>35</v>
      </c>
      <c r="I16" s="96">
        <v>6.0655229999999997E-2</v>
      </c>
      <c r="J16" s="98">
        <v>46.35</v>
      </c>
      <c r="K16" s="93">
        <v>100</v>
      </c>
      <c r="L16" s="94"/>
      <c r="M16" s="74">
        <f t="shared" si="4"/>
        <v>0</v>
      </c>
      <c r="N16" s="95">
        <f t="shared" si="5"/>
        <v>0</v>
      </c>
      <c r="O16" s="95">
        <f t="shared" si="6"/>
        <v>0</v>
      </c>
      <c r="P16" s="95">
        <f t="shared" si="7"/>
        <v>0</v>
      </c>
      <c r="Q16" s="95" t="s">
        <v>56</v>
      </c>
    </row>
    <row r="17" spans="1:17" s="74" customFormat="1" ht="16" customHeight="1">
      <c r="A17" s="89" t="s">
        <v>57</v>
      </c>
      <c r="B17" s="89" t="s">
        <v>17</v>
      </c>
      <c r="C17" s="90" t="s">
        <v>58</v>
      </c>
      <c r="D17" s="16" t="s">
        <v>59</v>
      </c>
      <c r="E17" s="16" t="s">
        <v>26</v>
      </c>
      <c r="F17" s="16">
        <v>2</v>
      </c>
      <c r="G17" s="91">
        <v>17.21</v>
      </c>
      <c r="H17" s="96" t="s">
        <v>45</v>
      </c>
      <c r="I17" s="96">
        <v>7.0355420000000002E-2</v>
      </c>
      <c r="J17" s="98">
        <v>82.9</v>
      </c>
      <c r="K17" s="93">
        <v>40</v>
      </c>
      <c r="L17" s="94"/>
      <c r="M17" s="74">
        <f t="shared" si="4"/>
        <v>0</v>
      </c>
      <c r="N17" s="95">
        <f t="shared" si="5"/>
        <v>0</v>
      </c>
      <c r="O17" s="95">
        <f t="shared" si="6"/>
        <v>0</v>
      </c>
      <c r="P17" s="95">
        <f t="shared" si="7"/>
        <v>0</v>
      </c>
      <c r="Q17" s="95" t="s">
        <v>58</v>
      </c>
    </row>
    <row r="18" spans="1:17" s="74" customFormat="1" ht="16" customHeight="1">
      <c r="A18" s="89" t="s">
        <v>60</v>
      </c>
      <c r="B18" s="89" t="s">
        <v>17</v>
      </c>
      <c r="C18" s="90" t="s">
        <v>61</v>
      </c>
      <c r="D18" s="16" t="s">
        <v>62</v>
      </c>
      <c r="E18" s="89" t="s">
        <v>26</v>
      </c>
      <c r="F18" s="16">
        <v>1</v>
      </c>
      <c r="G18" s="91">
        <v>12.34</v>
      </c>
      <c r="H18" s="16" t="s">
        <v>63</v>
      </c>
      <c r="I18" s="16">
        <v>6.3518439999999995E-2</v>
      </c>
      <c r="J18" s="98">
        <v>115.1</v>
      </c>
      <c r="K18" s="93">
        <v>20</v>
      </c>
      <c r="L18" s="94"/>
      <c r="M18" s="74">
        <f t="shared" si="4"/>
        <v>0</v>
      </c>
      <c r="N18" s="95">
        <f t="shared" si="5"/>
        <v>0</v>
      </c>
      <c r="O18" s="95">
        <f t="shared" si="6"/>
        <v>0</v>
      </c>
      <c r="P18" s="95">
        <f t="shared" si="7"/>
        <v>0</v>
      </c>
      <c r="Q18" s="95" t="s">
        <v>61</v>
      </c>
    </row>
    <row r="19" spans="1:17" s="74" customFormat="1" ht="16" customHeight="1">
      <c r="A19" s="89" t="s">
        <v>64</v>
      </c>
      <c r="B19" s="89" t="s">
        <v>17</v>
      </c>
      <c r="C19" s="90" t="s">
        <v>65</v>
      </c>
      <c r="D19" s="16" t="s">
        <v>62</v>
      </c>
      <c r="E19" s="89" t="s">
        <v>20</v>
      </c>
      <c r="F19" s="16">
        <v>1</v>
      </c>
      <c r="G19" s="91">
        <v>12.34</v>
      </c>
      <c r="H19" s="16" t="s">
        <v>63</v>
      </c>
      <c r="I19" s="16">
        <v>6.3518439999999995E-2</v>
      </c>
      <c r="J19" s="98">
        <v>93.6</v>
      </c>
      <c r="K19" s="93">
        <v>20</v>
      </c>
      <c r="L19" s="94"/>
      <c r="M19" s="74">
        <f t="shared" si="4"/>
        <v>0</v>
      </c>
      <c r="N19" s="95">
        <f t="shared" si="5"/>
        <v>0</v>
      </c>
      <c r="O19" s="95">
        <f t="shared" si="6"/>
        <v>0</v>
      </c>
      <c r="P19" s="95">
        <f t="shared" si="7"/>
        <v>0</v>
      </c>
      <c r="Q19" s="95" t="s">
        <v>65</v>
      </c>
    </row>
    <row r="20" spans="1:17" s="74" customFormat="1" ht="16" customHeight="1">
      <c r="A20" s="89"/>
      <c r="B20" s="89" t="s">
        <v>17</v>
      </c>
      <c r="C20" s="90"/>
      <c r="D20" s="16" t="s">
        <v>66</v>
      </c>
      <c r="E20" s="89" t="s">
        <v>26</v>
      </c>
      <c r="F20" s="16">
        <v>1</v>
      </c>
      <c r="G20" s="91">
        <v>26.7</v>
      </c>
      <c r="H20" s="16" t="s">
        <v>67</v>
      </c>
      <c r="I20" s="16">
        <v>0.177463116</v>
      </c>
      <c r="J20" s="98">
        <v>148.4</v>
      </c>
      <c r="K20" s="93">
        <v>20</v>
      </c>
      <c r="L20" s="94"/>
      <c r="M20" s="74">
        <f t="shared" si="4"/>
        <v>0</v>
      </c>
      <c r="N20" s="95">
        <f t="shared" si="5"/>
        <v>0</v>
      </c>
      <c r="O20" s="95">
        <f t="shared" si="6"/>
        <v>0</v>
      </c>
      <c r="P20" s="95">
        <f t="shared" si="7"/>
        <v>0</v>
      </c>
      <c r="Q20" s="95" t="s">
        <v>316</v>
      </c>
    </row>
    <row r="21" spans="1:17" ht="16" customHeight="1">
      <c r="B21" s="16" t="s">
        <v>17</v>
      </c>
      <c r="C21" s="90"/>
      <c r="D21" s="16" t="s">
        <v>68</v>
      </c>
      <c r="E21" s="16" t="s">
        <v>26</v>
      </c>
      <c r="F21" s="16">
        <v>4</v>
      </c>
      <c r="G21" s="91">
        <v>15.9</v>
      </c>
      <c r="H21" s="16" t="s">
        <v>69</v>
      </c>
      <c r="I21" s="16">
        <v>0.102641</v>
      </c>
      <c r="J21" s="98">
        <v>31.3</v>
      </c>
      <c r="K21" s="93">
        <v>48</v>
      </c>
      <c r="L21" s="100"/>
      <c r="M21" s="74">
        <f t="shared" si="4"/>
        <v>0</v>
      </c>
      <c r="N21" s="95">
        <f t="shared" si="5"/>
        <v>0</v>
      </c>
      <c r="O21" s="95">
        <f t="shared" si="6"/>
        <v>0</v>
      </c>
      <c r="P21" s="95">
        <f t="shared" si="7"/>
        <v>0</v>
      </c>
      <c r="Q21" s="79" t="s">
        <v>70</v>
      </c>
    </row>
    <row r="22" spans="1:17" s="74" customFormat="1" ht="16" customHeight="1">
      <c r="A22" s="89" t="s">
        <v>71</v>
      </c>
      <c r="B22" s="89" t="s">
        <v>17</v>
      </c>
      <c r="C22" s="90" t="s">
        <v>72</v>
      </c>
      <c r="D22" s="16" t="s">
        <v>73</v>
      </c>
      <c r="E22" s="89" t="s">
        <v>26</v>
      </c>
      <c r="F22" s="16">
        <v>2</v>
      </c>
      <c r="G22" s="91">
        <v>10.029999999999999</v>
      </c>
      <c r="H22" s="16" t="s">
        <v>74</v>
      </c>
      <c r="I22" s="16">
        <v>6.2765280000000007E-2</v>
      </c>
      <c r="J22" s="98">
        <v>27</v>
      </c>
      <c r="K22" s="93">
        <v>48</v>
      </c>
      <c r="L22" s="94"/>
      <c r="M22" s="74">
        <f t="shared" si="4"/>
        <v>0</v>
      </c>
      <c r="N22" s="95">
        <f t="shared" si="5"/>
        <v>0</v>
      </c>
      <c r="O22" s="95">
        <f t="shared" si="6"/>
        <v>0</v>
      </c>
      <c r="P22" s="95">
        <f t="shared" si="7"/>
        <v>0</v>
      </c>
      <c r="Q22" s="95" t="s">
        <v>72</v>
      </c>
    </row>
    <row r="23" spans="1:17" s="74" customFormat="1" ht="16" customHeight="1">
      <c r="A23" s="89"/>
      <c r="B23" s="89" t="s">
        <v>17</v>
      </c>
      <c r="C23" s="90"/>
      <c r="D23" s="16" t="s">
        <v>75</v>
      </c>
      <c r="E23" s="89" t="s">
        <v>20</v>
      </c>
      <c r="F23" s="16">
        <v>1</v>
      </c>
      <c r="G23" s="91">
        <v>19</v>
      </c>
      <c r="H23" s="16" t="s">
        <v>76</v>
      </c>
      <c r="I23" s="16">
        <v>8.6052749999999997E-2</v>
      </c>
      <c r="J23" s="98">
        <v>139.80000000000001</v>
      </c>
      <c r="K23" s="93">
        <v>20</v>
      </c>
      <c r="L23" s="94"/>
      <c r="M23" s="74">
        <f t="shared" si="4"/>
        <v>0</v>
      </c>
      <c r="N23" s="95">
        <f t="shared" si="5"/>
        <v>0</v>
      </c>
      <c r="O23" s="95">
        <f t="shared" si="6"/>
        <v>0</v>
      </c>
      <c r="P23" s="95">
        <f t="shared" si="7"/>
        <v>0</v>
      </c>
      <c r="Q23" s="95" t="s">
        <v>333</v>
      </c>
    </row>
    <row r="24" spans="1:17" s="74" customFormat="1" ht="16" customHeight="1">
      <c r="A24" s="89"/>
      <c r="B24" s="89" t="s">
        <v>17</v>
      </c>
      <c r="C24" s="90"/>
      <c r="D24" s="16" t="s">
        <v>77</v>
      </c>
      <c r="E24" s="89" t="s">
        <v>20</v>
      </c>
      <c r="F24" s="16">
        <v>1</v>
      </c>
      <c r="G24" s="91">
        <v>20.54</v>
      </c>
      <c r="H24" s="16" t="s">
        <v>78</v>
      </c>
      <c r="I24" s="16">
        <v>9.7179360000000006E-2</v>
      </c>
      <c r="J24" s="92">
        <v>193.5</v>
      </c>
      <c r="K24" s="93">
        <v>20</v>
      </c>
      <c r="L24" s="94"/>
      <c r="M24" s="74">
        <f t="shared" si="4"/>
        <v>0</v>
      </c>
      <c r="N24" s="95">
        <f t="shared" si="5"/>
        <v>0</v>
      </c>
      <c r="O24" s="95">
        <f t="shared" si="6"/>
        <v>0</v>
      </c>
      <c r="P24" s="95">
        <f t="shared" si="7"/>
        <v>0</v>
      </c>
      <c r="Q24" s="95" t="s">
        <v>334</v>
      </c>
    </row>
    <row r="25" spans="1:17" s="74" customFormat="1" ht="16" customHeight="1">
      <c r="A25" s="89"/>
      <c r="B25" s="89" t="s">
        <v>17</v>
      </c>
      <c r="C25" s="90"/>
      <c r="D25" s="16" t="s">
        <v>79</v>
      </c>
      <c r="E25" s="89" t="s">
        <v>20</v>
      </c>
      <c r="F25" s="16">
        <v>1</v>
      </c>
      <c r="G25" s="91">
        <v>24.6</v>
      </c>
      <c r="H25" s="16" t="s">
        <v>80</v>
      </c>
      <c r="I25" s="16">
        <v>0.11617434</v>
      </c>
      <c r="J25" s="92">
        <v>322.60000000000002</v>
      </c>
      <c r="K25" s="93">
        <v>10</v>
      </c>
      <c r="L25" s="94"/>
      <c r="M25" s="74">
        <f t="shared" si="4"/>
        <v>0</v>
      </c>
      <c r="N25" s="95">
        <f t="shared" si="5"/>
        <v>0</v>
      </c>
      <c r="O25" s="95">
        <f t="shared" si="6"/>
        <v>0</v>
      </c>
      <c r="P25" s="95">
        <f t="shared" si="7"/>
        <v>0</v>
      </c>
      <c r="Q25" s="95" t="s">
        <v>335</v>
      </c>
    </row>
    <row r="26" spans="1:17" ht="16" customHeight="1">
      <c r="A26" s="89"/>
      <c r="B26" s="89" t="s">
        <v>17</v>
      </c>
      <c r="C26" s="101"/>
      <c r="D26" s="16" t="s">
        <v>81</v>
      </c>
      <c r="E26" s="89" t="s">
        <v>20</v>
      </c>
      <c r="F26" s="16">
        <v>1</v>
      </c>
      <c r="G26" s="91">
        <v>19.73</v>
      </c>
      <c r="H26" s="16" t="s">
        <v>82</v>
      </c>
      <c r="I26" s="16">
        <v>9.4689170000000003E-2</v>
      </c>
      <c r="J26" s="92">
        <v>149.5</v>
      </c>
      <c r="K26" s="93">
        <v>20</v>
      </c>
      <c r="L26" s="94"/>
      <c r="M26" s="74">
        <f t="shared" si="4"/>
        <v>0</v>
      </c>
      <c r="N26" s="95">
        <f t="shared" si="5"/>
        <v>0</v>
      </c>
      <c r="O26" s="95">
        <f t="shared" si="6"/>
        <v>0</v>
      </c>
      <c r="P26" s="95">
        <f t="shared" si="7"/>
        <v>0</v>
      </c>
      <c r="Q26" s="95" t="s">
        <v>336</v>
      </c>
    </row>
    <row r="27" spans="1:17" s="1" customFormat="1" ht="16" customHeight="1">
      <c r="A27" s="89"/>
      <c r="B27" s="89" t="s">
        <v>17</v>
      </c>
      <c r="C27" s="101"/>
      <c r="D27" s="16" t="s">
        <v>83</v>
      </c>
      <c r="E27" s="89" t="s">
        <v>26</v>
      </c>
      <c r="F27" s="16">
        <v>1</v>
      </c>
      <c r="G27" s="91">
        <v>21.9</v>
      </c>
      <c r="H27" s="16" t="s">
        <v>82</v>
      </c>
      <c r="I27" s="16">
        <v>9.4689170000000003E-2</v>
      </c>
      <c r="J27" s="92">
        <v>149.5</v>
      </c>
      <c r="K27" s="93">
        <v>20</v>
      </c>
      <c r="L27" s="94"/>
      <c r="M27" s="74">
        <f t="shared" si="4"/>
        <v>0</v>
      </c>
      <c r="N27" s="95">
        <f t="shared" si="5"/>
        <v>0</v>
      </c>
      <c r="O27" s="95">
        <f t="shared" si="6"/>
        <v>0</v>
      </c>
      <c r="P27" s="95">
        <f t="shared" si="7"/>
        <v>0</v>
      </c>
      <c r="Q27" s="95" t="s">
        <v>337</v>
      </c>
    </row>
    <row r="28" spans="1:17" s="74" customFormat="1" ht="16" customHeight="1">
      <c r="A28" s="89"/>
      <c r="B28" s="89" t="s">
        <v>17</v>
      </c>
      <c r="C28" s="90" t="s">
        <v>84</v>
      </c>
      <c r="D28" s="16" t="s">
        <v>85</v>
      </c>
      <c r="E28" s="89" t="s">
        <v>20</v>
      </c>
      <c r="F28" s="16">
        <v>1</v>
      </c>
      <c r="G28" s="91">
        <v>22.54</v>
      </c>
      <c r="H28" s="16" t="s">
        <v>86</v>
      </c>
      <c r="I28" s="16">
        <v>0.124216875</v>
      </c>
      <c r="J28" s="92">
        <v>193.5</v>
      </c>
      <c r="K28" s="93">
        <v>20</v>
      </c>
      <c r="L28" s="94"/>
      <c r="M28" s="74">
        <f t="shared" si="4"/>
        <v>0</v>
      </c>
      <c r="N28" s="95">
        <f t="shared" si="5"/>
        <v>0</v>
      </c>
      <c r="O28" s="95">
        <f t="shared" si="6"/>
        <v>0</v>
      </c>
      <c r="P28" s="95">
        <f t="shared" si="7"/>
        <v>0</v>
      </c>
      <c r="Q28" s="95" t="s">
        <v>84</v>
      </c>
    </row>
    <row r="29" spans="1:17" s="74" customFormat="1" ht="16" customHeight="1">
      <c r="A29" s="89"/>
      <c r="B29" s="89" t="s">
        <v>17</v>
      </c>
      <c r="C29" s="90"/>
      <c r="D29" s="16" t="s">
        <v>87</v>
      </c>
      <c r="E29" s="89" t="s">
        <v>20</v>
      </c>
      <c r="F29" s="16">
        <v>1</v>
      </c>
      <c r="G29" s="91">
        <v>20.61</v>
      </c>
      <c r="H29" s="16" t="s">
        <v>78</v>
      </c>
      <c r="I29" s="16">
        <v>9.7179360000000006E-2</v>
      </c>
      <c r="J29" s="92">
        <v>165</v>
      </c>
      <c r="K29" s="93">
        <v>10</v>
      </c>
      <c r="L29" s="94"/>
      <c r="M29" s="74">
        <f t="shared" ref="M29:M56" si="8">L29/F29</f>
        <v>0</v>
      </c>
      <c r="N29" s="95">
        <f t="shared" ref="N29:N56" si="9">M29*G29</f>
        <v>0</v>
      </c>
      <c r="O29" s="95">
        <f t="shared" ref="O29:O56" si="10">I29*M29</f>
        <v>0</v>
      </c>
      <c r="P29" s="95">
        <f t="shared" ref="P29:P56" si="11">L29*J29</f>
        <v>0</v>
      </c>
      <c r="Q29" s="95" t="s">
        <v>88</v>
      </c>
    </row>
    <row r="30" spans="1:17" customFormat="1" ht="16" customHeight="1">
      <c r="A30" s="1"/>
      <c r="B30" s="16" t="s">
        <v>17</v>
      </c>
      <c r="C30" s="102"/>
      <c r="D30" s="96" t="s">
        <v>89</v>
      </c>
      <c r="E30" s="103" t="s">
        <v>26</v>
      </c>
      <c r="F30" s="96">
        <v>4</v>
      </c>
      <c r="G30" s="97">
        <v>3.52</v>
      </c>
      <c r="H30" s="96" t="s">
        <v>90</v>
      </c>
      <c r="I30" s="96">
        <v>8.251377E-2</v>
      </c>
      <c r="J30" s="98">
        <v>75</v>
      </c>
      <c r="K30" s="93">
        <v>20</v>
      </c>
      <c r="L30" s="100"/>
      <c r="M30" s="74">
        <f t="shared" si="8"/>
        <v>0</v>
      </c>
      <c r="N30" s="95">
        <f t="shared" si="9"/>
        <v>0</v>
      </c>
      <c r="O30" s="95">
        <f t="shared" si="10"/>
        <v>0</v>
      </c>
      <c r="P30" s="95">
        <f t="shared" si="11"/>
        <v>0</v>
      </c>
      <c r="Q30" s="79" t="s">
        <v>91</v>
      </c>
    </row>
    <row r="31" spans="1:17" customFormat="1" ht="16" customHeight="1">
      <c r="A31" s="1"/>
      <c r="B31" s="16" t="s">
        <v>17</v>
      </c>
      <c r="C31" s="102"/>
      <c r="D31" s="96" t="s">
        <v>89</v>
      </c>
      <c r="E31" s="103" t="s">
        <v>29</v>
      </c>
      <c r="F31" s="96">
        <v>4</v>
      </c>
      <c r="G31" s="97">
        <v>3.52</v>
      </c>
      <c r="H31" s="96" t="s">
        <v>90</v>
      </c>
      <c r="I31" s="96">
        <v>8.251377E-2</v>
      </c>
      <c r="J31" s="98">
        <v>75</v>
      </c>
      <c r="K31" s="93">
        <v>20</v>
      </c>
      <c r="L31" s="100"/>
      <c r="M31" s="74">
        <f t="shared" si="8"/>
        <v>0</v>
      </c>
      <c r="N31" s="95">
        <f t="shared" si="9"/>
        <v>0</v>
      </c>
      <c r="O31" s="95">
        <f t="shared" si="10"/>
        <v>0</v>
      </c>
      <c r="P31" s="95">
        <f t="shared" si="11"/>
        <v>0</v>
      </c>
      <c r="Q31" s="79" t="s">
        <v>92</v>
      </c>
    </row>
    <row r="32" spans="1:17" customFormat="1" ht="16" customHeight="1">
      <c r="A32" s="1"/>
      <c r="B32" s="16" t="s">
        <v>17</v>
      </c>
      <c r="C32" s="102"/>
      <c r="D32" s="96" t="s">
        <v>93</v>
      </c>
      <c r="E32" s="103" t="s">
        <v>26</v>
      </c>
      <c r="F32" s="96">
        <v>8</v>
      </c>
      <c r="G32" s="97">
        <v>11.79</v>
      </c>
      <c r="H32" s="96" t="s">
        <v>94</v>
      </c>
      <c r="I32" s="96">
        <v>5.5163940000000002E-2</v>
      </c>
      <c r="J32" s="98">
        <v>46.5</v>
      </c>
      <c r="K32" s="93">
        <v>48</v>
      </c>
      <c r="L32" s="100"/>
      <c r="M32" s="74">
        <f t="shared" si="8"/>
        <v>0</v>
      </c>
      <c r="N32" s="95">
        <f t="shared" si="9"/>
        <v>0</v>
      </c>
      <c r="O32" s="95">
        <f t="shared" si="10"/>
        <v>0</v>
      </c>
      <c r="P32" s="95">
        <f t="shared" si="11"/>
        <v>0</v>
      </c>
      <c r="Q32" s="79" t="s">
        <v>317</v>
      </c>
    </row>
    <row r="33" spans="1:17" customFormat="1" ht="16" customHeight="1">
      <c r="A33" s="1"/>
      <c r="B33" s="16" t="s">
        <v>17</v>
      </c>
      <c r="C33" s="102"/>
      <c r="D33" s="96" t="s">
        <v>93</v>
      </c>
      <c r="E33" s="103" t="s">
        <v>29</v>
      </c>
      <c r="F33" s="96">
        <v>8</v>
      </c>
      <c r="G33" s="97">
        <v>11.79</v>
      </c>
      <c r="H33" s="96" t="s">
        <v>94</v>
      </c>
      <c r="I33" s="96">
        <v>5.5163940000000002E-2</v>
      </c>
      <c r="J33" s="98">
        <v>46.5</v>
      </c>
      <c r="K33" s="93">
        <v>48</v>
      </c>
      <c r="L33" s="100"/>
      <c r="M33" s="74">
        <f t="shared" si="8"/>
        <v>0</v>
      </c>
      <c r="N33" s="95">
        <f t="shared" si="9"/>
        <v>0</v>
      </c>
      <c r="O33" s="95">
        <f t="shared" si="10"/>
        <v>0</v>
      </c>
      <c r="P33" s="95">
        <f t="shared" si="11"/>
        <v>0</v>
      </c>
      <c r="Q33" s="79" t="s">
        <v>318</v>
      </c>
    </row>
    <row r="34" spans="1:17" customFormat="1" ht="16" customHeight="1">
      <c r="A34" s="1"/>
      <c r="B34" s="16" t="s">
        <v>17</v>
      </c>
      <c r="C34" s="102"/>
      <c r="D34" s="96" t="s">
        <v>95</v>
      </c>
      <c r="E34" s="103" t="s">
        <v>26</v>
      </c>
      <c r="F34" s="96">
        <v>16</v>
      </c>
      <c r="G34" s="97">
        <v>8.7899999999999991</v>
      </c>
      <c r="H34" s="96" t="s">
        <v>96</v>
      </c>
      <c r="I34" s="96">
        <v>3.1891200000000001E-2</v>
      </c>
      <c r="J34" s="98">
        <v>24.5</v>
      </c>
      <c r="K34" s="93">
        <v>96</v>
      </c>
      <c r="L34" s="100"/>
      <c r="M34" s="74">
        <f t="shared" si="8"/>
        <v>0</v>
      </c>
      <c r="N34" s="95">
        <f t="shared" si="9"/>
        <v>0</v>
      </c>
      <c r="O34" s="95">
        <f t="shared" si="10"/>
        <v>0</v>
      </c>
      <c r="P34" s="95">
        <f t="shared" si="11"/>
        <v>0</v>
      </c>
      <c r="Q34" s="79" t="s">
        <v>319</v>
      </c>
    </row>
    <row r="35" spans="1:17" customFormat="1" ht="16" customHeight="1">
      <c r="A35" s="1"/>
      <c r="B35" s="16" t="s">
        <v>17</v>
      </c>
      <c r="C35" s="102"/>
      <c r="D35" s="96" t="s">
        <v>95</v>
      </c>
      <c r="E35" s="103" t="s">
        <v>97</v>
      </c>
      <c r="F35" s="96">
        <v>16</v>
      </c>
      <c r="G35" s="97">
        <v>8.7899999999999991</v>
      </c>
      <c r="H35" s="96" t="s">
        <v>96</v>
      </c>
      <c r="I35" s="96">
        <v>3.1891200000000001E-2</v>
      </c>
      <c r="J35" s="98">
        <v>24.5</v>
      </c>
      <c r="K35" s="93">
        <v>96</v>
      </c>
      <c r="L35" s="100"/>
      <c r="M35" s="74">
        <f t="shared" si="8"/>
        <v>0</v>
      </c>
      <c r="N35" s="95">
        <f t="shared" si="9"/>
        <v>0</v>
      </c>
      <c r="O35" s="95">
        <f t="shared" si="10"/>
        <v>0</v>
      </c>
      <c r="P35" s="95">
        <f t="shared" si="11"/>
        <v>0</v>
      </c>
      <c r="Q35" s="79" t="s">
        <v>320</v>
      </c>
    </row>
    <row r="36" spans="1:17" customFormat="1" ht="16" customHeight="1">
      <c r="A36" s="1"/>
      <c r="B36" s="16" t="s">
        <v>17</v>
      </c>
      <c r="C36" s="102"/>
      <c r="D36" s="96" t="s">
        <v>95</v>
      </c>
      <c r="E36" s="103" t="s">
        <v>98</v>
      </c>
      <c r="F36" s="96">
        <v>16</v>
      </c>
      <c r="G36" s="97">
        <v>8.7899999999999991</v>
      </c>
      <c r="H36" s="96" t="s">
        <v>96</v>
      </c>
      <c r="I36" s="96">
        <v>3.1891200000000001E-2</v>
      </c>
      <c r="J36" s="98">
        <v>24.5</v>
      </c>
      <c r="K36" s="93">
        <v>96</v>
      </c>
      <c r="L36" s="100"/>
      <c r="M36" s="74">
        <f t="shared" si="8"/>
        <v>0</v>
      </c>
      <c r="N36" s="95">
        <f t="shared" si="9"/>
        <v>0</v>
      </c>
      <c r="O36" s="95">
        <f t="shared" si="10"/>
        <v>0</v>
      </c>
      <c r="P36" s="95">
        <f t="shared" si="11"/>
        <v>0</v>
      </c>
      <c r="Q36" s="79" t="s">
        <v>321</v>
      </c>
    </row>
    <row r="37" spans="1:17" customFormat="1" ht="16" customHeight="1">
      <c r="A37" s="1"/>
      <c r="B37" s="16" t="s">
        <v>17</v>
      </c>
      <c r="C37" s="102"/>
      <c r="D37" s="96" t="s">
        <v>99</v>
      </c>
      <c r="E37" s="103" t="s">
        <v>26</v>
      </c>
      <c r="F37" s="96">
        <v>2</v>
      </c>
      <c r="G37" s="97">
        <v>16.010000000000002</v>
      </c>
      <c r="H37" s="96" t="s">
        <v>100</v>
      </c>
      <c r="I37" s="96">
        <v>8.3723580000000006E-2</v>
      </c>
      <c r="J37" s="98">
        <v>155</v>
      </c>
      <c r="K37" s="93">
        <v>20</v>
      </c>
      <c r="L37" s="100"/>
      <c r="M37" s="74">
        <f t="shared" si="8"/>
        <v>0</v>
      </c>
      <c r="N37" s="95">
        <f t="shared" si="9"/>
        <v>0</v>
      </c>
      <c r="O37" s="95">
        <f t="shared" si="10"/>
        <v>0</v>
      </c>
      <c r="P37" s="95">
        <f t="shared" si="11"/>
        <v>0</v>
      </c>
      <c r="Q37" s="79" t="s">
        <v>322</v>
      </c>
    </row>
    <row r="38" spans="1:17" customFormat="1" ht="16" customHeight="1">
      <c r="A38" s="1"/>
      <c r="B38" s="16" t="s">
        <v>17</v>
      </c>
      <c r="C38" s="102"/>
      <c r="D38" s="96" t="s">
        <v>99</v>
      </c>
      <c r="E38" s="103" t="s">
        <v>29</v>
      </c>
      <c r="F38" s="96">
        <v>2</v>
      </c>
      <c r="G38" s="97">
        <v>16.010000000000002</v>
      </c>
      <c r="H38" s="96" t="s">
        <v>100</v>
      </c>
      <c r="I38" s="96">
        <v>8.3723580000000006E-2</v>
      </c>
      <c r="J38" s="98">
        <v>155</v>
      </c>
      <c r="K38" s="93">
        <v>20</v>
      </c>
      <c r="L38" s="100"/>
      <c r="M38" s="74">
        <f t="shared" si="8"/>
        <v>0</v>
      </c>
      <c r="N38" s="95">
        <f t="shared" si="9"/>
        <v>0</v>
      </c>
      <c r="O38" s="95">
        <f t="shared" si="10"/>
        <v>0</v>
      </c>
      <c r="P38" s="95">
        <f t="shared" si="11"/>
        <v>0</v>
      </c>
      <c r="Q38" s="79" t="s">
        <v>323</v>
      </c>
    </row>
    <row r="39" spans="1:17" customFormat="1" ht="16" customHeight="1">
      <c r="A39" s="1"/>
      <c r="B39" s="16" t="s">
        <v>17</v>
      </c>
      <c r="C39" s="102"/>
      <c r="D39" s="16" t="s">
        <v>101</v>
      </c>
      <c r="E39" s="104" t="s">
        <v>20</v>
      </c>
      <c r="F39" s="16">
        <v>16</v>
      </c>
      <c r="G39" s="91">
        <v>18.12</v>
      </c>
      <c r="H39" s="16" t="s">
        <v>102</v>
      </c>
      <c r="I39" s="16">
        <v>6.398595E-2</v>
      </c>
      <c r="J39" s="98">
        <v>38</v>
      </c>
      <c r="K39" s="93">
        <v>80</v>
      </c>
      <c r="L39" s="100"/>
      <c r="M39" s="74">
        <f t="shared" si="8"/>
        <v>0</v>
      </c>
      <c r="N39" s="95">
        <f t="shared" si="9"/>
        <v>0</v>
      </c>
      <c r="O39" s="95">
        <f t="shared" si="10"/>
        <v>0</v>
      </c>
      <c r="P39" s="95">
        <f t="shared" si="11"/>
        <v>0</v>
      </c>
      <c r="Q39" s="79" t="s">
        <v>103</v>
      </c>
    </row>
    <row r="40" spans="1:17" customFormat="1" ht="16" customHeight="1">
      <c r="A40" s="1"/>
      <c r="B40" s="16" t="s">
        <v>17</v>
      </c>
      <c r="C40" s="102"/>
      <c r="D40" s="16" t="s">
        <v>101</v>
      </c>
      <c r="E40" s="104" t="s">
        <v>104</v>
      </c>
      <c r="F40" s="16">
        <v>16</v>
      </c>
      <c r="G40" s="91">
        <v>18.12</v>
      </c>
      <c r="H40" s="16" t="s">
        <v>102</v>
      </c>
      <c r="I40" s="16">
        <v>6.398595E-2</v>
      </c>
      <c r="J40" s="98">
        <v>38</v>
      </c>
      <c r="K40" s="93">
        <v>80</v>
      </c>
      <c r="L40" s="100"/>
      <c r="M40" s="74">
        <f t="shared" si="8"/>
        <v>0</v>
      </c>
      <c r="N40" s="95">
        <f t="shared" si="9"/>
        <v>0</v>
      </c>
      <c r="O40" s="95">
        <f t="shared" si="10"/>
        <v>0</v>
      </c>
      <c r="P40" s="95">
        <f t="shared" si="11"/>
        <v>0</v>
      </c>
      <c r="Q40" s="79" t="s">
        <v>105</v>
      </c>
    </row>
    <row r="41" spans="1:17" customFormat="1" ht="16" customHeight="1">
      <c r="A41" s="1"/>
      <c r="B41" s="16" t="s">
        <v>17</v>
      </c>
      <c r="C41" s="102"/>
      <c r="D41" s="16" t="s">
        <v>101</v>
      </c>
      <c r="E41" s="104" t="s">
        <v>106</v>
      </c>
      <c r="F41" s="16">
        <v>16</v>
      </c>
      <c r="G41" s="91">
        <v>18.12</v>
      </c>
      <c r="H41" s="16" t="s">
        <v>102</v>
      </c>
      <c r="I41" s="16">
        <v>6.398595E-2</v>
      </c>
      <c r="J41" s="98">
        <v>38</v>
      </c>
      <c r="K41" s="93">
        <v>80</v>
      </c>
      <c r="L41" s="100"/>
      <c r="M41" s="74">
        <f t="shared" si="8"/>
        <v>0</v>
      </c>
      <c r="N41" s="95">
        <f t="shared" si="9"/>
        <v>0</v>
      </c>
      <c r="O41" s="95">
        <f t="shared" si="10"/>
        <v>0</v>
      </c>
      <c r="P41" s="95">
        <f t="shared" si="11"/>
        <v>0</v>
      </c>
      <c r="Q41" s="79" t="s">
        <v>103</v>
      </c>
    </row>
    <row r="42" spans="1:17" customFormat="1" ht="16" customHeight="1">
      <c r="A42" s="1"/>
      <c r="B42" s="16" t="s">
        <v>17</v>
      </c>
      <c r="C42" s="102"/>
      <c r="D42" s="16" t="s">
        <v>101</v>
      </c>
      <c r="E42" s="104" t="s">
        <v>29</v>
      </c>
      <c r="F42" s="16">
        <v>16</v>
      </c>
      <c r="G42" s="91">
        <v>18.12</v>
      </c>
      <c r="H42" s="16" t="s">
        <v>102</v>
      </c>
      <c r="I42" s="16">
        <v>6.398595E-2</v>
      </c>
      <c r="J42" s="98">
        <v>38</v>
      </c>
      <c r="K42" s="93">
        <v>80</v>
      </c>
      <c r="L42" s="100"/>
      <c r="M42" s="74">
        <f t="shared" si="8"/>
        <v>0</v>
      </c>
      <c r="N42" s="95">
        <f t="shared" si="9"/>
        <v>0</v>
      </c>
      <c r="O42" s="95">
        <f t="shared" si="10"/>
        <v>0</v>
      </c>
      <c r="P42" s="95">
        <f t="shared" si="11"/>
        <v>0</v>
      </c>
      <c r="Q42" s="79" t="s">
        <v>105</v>
      </c>
    </row>
    <row r="43" spans="1:17" customFormat="1" ht="16" customHeight="1">
      <c r="A43" s="1"/>
      <c r="B43" s="16" t="s">
        <v>17</v>
      </c>
      <c r="C43" s="102"/>
      <c r="D43" s="96" t="s">
        <v>107</v>
      </c>
      <c r="E43" s="103" t="s">
        <v>20</v>
      </c>
      <c r="F43" s="96">
        <v>8</v>
      </c>
      <c r="G43" s="97">
        <v>13.85</v>
      </c>
      <c r="H43" s="96" t="s">
        <v>108</v>
      </c>
      <c r="I43" s="96">
        <v>6.5476939999999997E-2</v>
      </c>
      <c r="J43" s="98">
        <v>47.3</v>
      </c>
      <c r="K43" s="93">
        <v>72</v>
      </c>
      <c r="L43" s="100"/>
      <c r="M43" s="74">
        <f t="shared" si="8"/>
        <v>0</v>
      </c>
      <c r="N43" s="95">
        <f t="shared" si="9"/>
        <v>0</v>
      </c>
      <c r="O43" s="95">
        <f t="shared" si="10"/>
        <v>0</v>
      </c>
      <c r="P43" s="95">
        <f t="shared" si="11"/>
        <v>0</v>
      </c>
      <c r="Q43" s="79" t="s">
        <v>324</v>
      </c>
    </row>
    <row r="44" spans="1:17" customFormat="1" ht="16" customHeight="1">
      <c r="A44" s="1"/>
      <c r="B44" s="16" t="s">
        <v>17</v>
      </c>
      <c r="C44" s="102"/>
      <c r="D44" s="96" t="s">
        <v>107</v>
      </c>
      <c r="E44" s="103" t="s">
        <v>109</v>
      </c>
      <c r="F44" s="96">
        <v>8</v>
      </c>
      <c r="G44" s="97">
        <v>13.85</v>
      </c>
      <c r="H44" s="96" t="s">
        <v>108</v>
      </c>
      <c r="I44" s="96">
        <v>6.5476939999999997E-2</v>
      </c>
      <c r="J44" s="98">
        <v>47.3</v>
      </c>
      <c r="K44" s="93">
        <v>72</v>
      </c>
      <c r="L44" s="100"/>
      <c r="M44" s="74">
        <f t="shared" si="8"/>
        <v>0</v>
      </c>
      <c r="N44" s="95">
        <f t="shared" si="9"/>
        <v>0</v>
      </c>
      <c r="O44" s="95">
        <f t="shared" si="10"/>
        <v>0</v>
      </c>
      <c r="P44" s="95">
        <f t="shared" si="11"/>
        <v>0</v>
      </c>
      <c r="Q44" s="79" t="s">
        <v>325</v>
      </c>
    </row>
    <row r="45" spans="1:17" customFormat="1" ht="16" customHeight="1">
      <c r="A45" s="1"/>
      <c r="B45" s="16" t="s">
        <v>17</v>
      </c>
      <c r="C45" s="102"/>
      <c r="D45" s="96" t="s">
        <v>107</v>
      </c>
      <c r="E45" s="103" t="s">
        <v>106</v>
      </c>
      <c r="F45" s="96">
        <v>8</v>
      </c>
      <c r="G45" s="97">
        <v>13.85</v>
      </c>
      <c r="H45" s="96" t="s">
        <v>108</v>
      </c>
      <c r="I45" s="96">
        <v>6.5476939999999997E-2</v>
      </c>
      <c r="J45" s="98">
        <v>47.3</v>
      </c>
      <c r="K45" s="93">
        <v>72</v>
      </c>
      <c r="L45" s="100"/>
      <c r="M45" s="74">
        <f t="shared" si="8"/>
        <v>0</v>
      </c>
      <c r="N45" s="95">
        <f t="shared" si="9"/>
        <v>0</v>
      </c>
      <c r="O45" s="95">
        <f t="shared" si="10"/>
        <v>0</v>
      </c>
      <c r="P45" s="95">
        <f t="shared" si="11"/>
        <v>0</v>
      </c>
      <c r="Q45" s="79" t="s">
        <v>338</v>
      </c>
    </row>
    <row r="46" spans="1:17" customFormat="1" ht="14" customHeight="1">
      <c r="A46" s="1"/>
      <c r="B46" s="16" t="s">
        <v>17</v>
      </c>
      <c r="C46" s="102"/>
      <c r="D46" s="16" t="s">
        <v>110</v>
      </c>
      <c r="E46" s="104" t="s">
        <v>26</v>
      </c>
      <c r="F46" s="16">
        <v>2</v>
      </c>
      <c r="G46" s="91">
        <v>10.98</v>
      </c>
      <c r="H46" s="16" t="s">
        <v>111</v>
      </c>
      <c r="I46" s="16">
        <v>5.5242390000000002E-2</v>
      </c>
      <c r="J46" s="98">
        <v>32</v>
      </c>
      <c r="K46" s="93">
        <v>50</v>
      </c>
      <c r="L46" s="100"/>
      <c r="M46" s="74">
        <f t="shared" si="8"/>
        <v>0</v>
      </c>
      <c r="N46" s="95">
        <f t="shared" si="9"/>
        <v>0</v>
      </c>
      <c r="O46" s="95">
        <f t="shared" si="10"/>
        <v>0</v>
      </c>
      <c r="P46" s="95">
        <f t="shared" si="11"/>
        <v>0</v>
      </c>
      <c r="Q46" s="79" t="s">
        <v>326</v>
      </c>
    </row>
    <row r="47" spans="1:17" customFormat="1" ht="16" customHeight="1">
      <c r="A47" s="1"/>
      <c r="B47" s="16" t="s">
        <v>17</v>
      </c>
      <c r="C47" s="102"/>
      <c r="D47" s="16" t="s">
        <v>110</v>
      </c>
      <c r="E47" s="104" t="s">
        <v>29</v>
      </c>
      <c r="F47" s="16">
        <v>2</v>
      </c>
      <c r="G47" s="91">
        <v>10.98</v>
      </c>
      <c r="H47" s="16" t="s">
        <v>111</v>
      </c>
      <c r="I47" s="16">
        <v>5.5242390000000002E-2</v>
      </c>
      <c r="J47" s="98">
        <v>32</v>
      </c>
      <c r="K47" s="93">
        <v>50</v>
      </c>
      <c r="L47" s="100"/>
      <c r="M47" s="74">
        <f t="shared" si="8"/>
        <v>0</v>
      </c>
      <c r="N47" s="95">
        <f t="shared" si="9"/>
        <v>0</v>
      </c>
      <c r="O47" s="95">
        <f t="shared" si="10"/>
        <v>0</v>
      </c>
      <c r="P47" s="95">
        <f t="shared" si="11"/>
        <v>0</v>
      </c>
      <c r="Q47" s="79" t="s">
        <v>327</v>
      </c>
    </row>
    <row r="48" spans="1:17" customFormat="1" ht="16" customHeight="1">
      <c r="A48" s="1"/>
      <c r="B48" s="16" t="s">
        <v>17</v>
      </c>
      <c r="C48" s="102"/>
      <c r="D48" s="16" t="s">
        <v>112</v>
      </c>
      <c r="E48" s="104" t="s">
        <v>26</v>
      </c>
      <c r="F48" s="16">
        <v>1</v>
      </c>
      <c r="G48" s="91">
        <v>13.15</v>
      </c>
      <c r="H48" s="16" t="s">
        <v>113</v>
      </c>
      <c r="I48" s="16">
        <v>6.1228489999999997E-2</v>
      </c>
      <c r="J48" s="98">
        <v>90</v>
      </c>
      <c r="K48" s="93">
        <v>40</v>
      </c>
      <c r="L48" s="100"/>
      <c r="M48" s="74">
        <f t="shared" si="8"/>
        <v>0</v>
      </c>
      <c r="N48" s="95">
        <f t="shared" si="9"/>
        <v>0</v>
      </c>
      <c r="O48" s="95">
        <f t="shared" si="10"/>
        <v>0</v>
      </c>
      <c r="P48" s="95">
        <f t="shared" si="11"/>
        <v>0</v>
      </c>
      <c r="Q48" s="79" t="s">
        <v>328</v>
      </c>
    </row>
    <row r="49" spans="1:17" customFormat="1" ht="16" customHeight="1">
      <c r="A49" s="1"/>
      <c r="B49" s="16" t="s">
        <v>17</v>
      </c>
      <c r="C49" s="102"/>
      <c r="D49" s="16" t="s">
        <v>112</v>
      </c>
      <c r="E49" s="104" t="s">
        <v>29</v>
      </c>
      <c r="F49" s="16">
        <v>1</v>
      </c>
      <c r="G49" s="91">
        <v>13.15</v>
      </c>
      <c r="H49" s="16" t="s">
        <v>113</v>
      </c>
      <c r="I49" s="16">
        <v>6.1228489999999997E-2</v>
      </c>
      <c r="J49" s="98">
        <v>90</v>
      </c>
      <c r="K49" s="93">
        <v>40</v>
      </c>
      <c r="L49" s="100"/>
      <c r="M49" s="74">
        <f t="shared" si="8"/>
        <v>0</v>
      </c>
      <c r="N49" s="95">
        <f t="shared" si="9"/>
        <v>0</v>
      </c>
      <c r="O49" s="95">
        <f t="shared" si="10"/>
        <v>0</v>
      </c>
      <c r="P49" s="95">
        <f t="shared" si="11"/>
        <v>0</v>
      </c>
      <c r="Q49" s="79" t="s">
        <v>329</v>
      </c>
    </row>
    <row r="50" spans="1:17" customFormat="1" ht="16" customHeight="1">
      <c r="A50" s="1"/>
      <c r="B50" s="16" t="s">
        <v>17</v>
      </c>
      <c r="C50" s="102"/>
      <c r="D50" s="16" t="s">
        <v>114</v>
      </c>
      <c r="E50" s="104" t="s">
        <v>26</v>
      </c>
      <c r="F50" s="16">
        <v>2</v>
      </c>
      <c r="G50" s="91">
        <v>10.029999999999999</v>
      </c>
      <c r="H50" s="16" t="s">
        <v>74</v>
      </c>
      <c r="I50" s="16">
        <v>6.2765280000000007E-2</v>
      </c>
      <c r="J50" s="98">
        <v>30.3</v>
      </c>
      <c r="K50" s="93">
        <v>48</v>
      </c>
      <c r="L50" s="100"/>
      <c r="M50" s="74">
        <f t="shared" si="8"/>
        <v>0</v>
      </c>
      <c r="N50" s="95">
        <f t="shared" si="9"/>
        <v>0</v>
      </c>
      <c r="O50" s="95">
        <f t="shared" si="10"/>
        <v>0</v>
      </c>
      <c r="P50" s="95">
        <f t="shared" si="11"/>
        <v>0</v>
      </c>
      <c r="Q50" s="79" t="s">
        <v>330</v>
      </c>
    </row>
    <row r="51" spans="1:17" s="74" customFormat="1" ht="14" customHeight="1">
      <c r="A51" s="16" t="s">
        <v>115</v>
      </c>
      <c r="B51" s="16" t="s">
        <v>116</v>
      </c>
      <c r="C51" s="102" t="s">
        <v>117</v>
      </c>
      <c r="D51" s="16" t="s">
        <v>118</v>
      </c>
      <c r="E51" s="104" t="s">
        <v>26</v>
      </c>
      <c r="F51" s="16">
        <v>1</v>
      </c>
      <c r="G51" s="91">
        <v>17.5</v>
      </c>
      <c r="H51" s="16" t="s">
        <v>119</v>
      </c>
      <c r="I51" s="16">
        <v>0.1062369</v>
      </c>
      <c r="J51" s="98">
        <v>65</v>
      </c>
      <c r="K51" s="93">
        <v>100</v>
      </c>
      <c r="L51" s="94"/>
      <c r="M51" s="74">
        <f t="shared" si="8"/>
        <v>0</v>
      </c>
      <c r="N51" s="95">
        <f t="shared" si="9"/>
        <v>0</v>
      </c>
      <c r="O51" s="95">
        <f t="shared" si="10"/>
        <v>0</v>
      </c>
      <c r="P51" s="95">
        <f t="shared" si="11"/>
        <v>0</v>
      </c>
      <c r="Q51" s="95" t="s">
        <v>339</v>
      </c>
    </row>
    <row r="52" spans="1:17" ht="16" customHeight="1">
      <c r="A52" s="1"/>
      <c r="B52" s="16" t="s">
        <v>116</v>
      </c>
      <c r="C52" s="102"/>
      <c r="D52" s="16" t="s">
        <v>120</v>
      </c>
      <c r="E52" s="104" t="s">
        <v>26</v>
      </c>
      <c r="F52" s="16">
        <v>1</v>
      </c>
      <c r="G52" s="91">
        <v>17.5</v>
      </c>
      <c r="H52" s="16" t="s">
        <v>119</v>
      </c>
      <c r="I52" s="16">
        <v>0.1062369</v>
      </c>
      <c r="J52" s="98">
        <v>65</v>
      </c>
      <c r="K52" s="93">
        <v>100</v>
      </c>
      <c r="L52" s="94"/>
      <c r="M52" s="74">
        <f t="shared" si="8"/>
        <v>0</v>
      </c>
      <c r="N52" s="95">
        <f t="shared" si="9"/>
        <v>0</v>
      </c>
      <c r="O52" s="95">
        <f t="shared" si="10"/>
        <v>0</v>
      </c>
      <c r="P52" s="95">
        <f t="shared" si="11"/>
        <v>0</v>
      </c>
      <c r="Q52" s="95" t="s">
        <v>340</v>
      </c>
    </row>
    <row r="53" spans="1:17" ht="16" customHeight="1">
      <c r="A53" s="1"/>
      <c r="B53" s="16" t="s">
        <v>116</v>
      </c>
      <c r="C53" s="102"/>
      <c r="D53" s="16" t="s">
        <v>121</v>
      </c>
      <c r="E53" s="104" t="s">
        <v>20</v>
      </c>
      <c r="F53" s="16">
        <v>1</v>
      </c>
      <c r="G53" s="91">
        <v>18.399999999999999</v>
      </c>
      <c r="H53" s="16" t="s">
        <v>122</v>
      </c>
      <c r="I53" s="16">
        <v>0.10833102</v>
      </c>
      <c r="J53" s="98">
        <v>65</v>
      </c>
      <c r="K53" s="93">
        <v>150</v>
      </c>
      <c r="L53" s="94"/>
      <c r="M53" s="74">
        <f t="shared" si="8"/>
        <v>0</v>
      </c>
      <c r="N53" s="95">
        <f t="shared" si="9"/>
        <v>0</v>
      </c>
      <c r="O53" s="95">
        <f t="shared" si="10"/>
        <v>0</v>
      </c>
      <c r="P53" s="95">
        <f t="shared" si="11"/>
        <v>0</v>
      </c>
      <c r="Q53" s="95" t="s">
        <v>123</v>
      </c>
    </row>
    <row r="54" spans="1:17" s="74" customFormat="1" ht="16.5">
      <c r="A54" s="16"/>
      <c r="B54" s="16" t="s">
        <v>17</v>
      </c>
      <c r="C54" s="89"/>
      <c r="D54" s="89" t="s">
        <v>124</v>
      </c>
      <c r="E54" s="89" t="s">
        <v>26</v>
      </c>
      <c r="F54" s="16">
        <v>1</v>
      </c>
      <c r="G54" s="91">
        <v>11.72</v>
      </c>
      <c r="H54" s="16" t="s">
        <v>125</v>
      </c>
      <c r="I54" s="16">
        <v>7.3569460000000003E-2</v>
      </c>
      <c r="J54" s="98">
        <v>48</v>
      </c>
      <c r="K54" s="105">
        <v>20</v>
      </c>
      <c r="L54" s="100"/>
      <c r="M54" s="74">
        <f t="shared" si="8"/>
        <v>0</v>
      </c>
      <c r="N54" s="95">
        <f t="shared" si="9"/>
        <v>0</v>
      </c>
      <c r="O54" s="95">
        <f t="shared" si="10"/>
        <v>0</v>
      </c>
      <c r="P54" s="95">
        <f t="shared" si="11"/>
        <v>0</v>
      </c>
      <c r="Q54" s="95" t="s">
        <v>341</v>
      </c>
    </row>
    <row r="55" spans="1:17" s="74" customFormat="1" ht="16.5">
      <c r="A55" s="16"/>
      <c r="B55" s="16" t="s">
        <v>17</v>
      </c>
      <c r="C55" s="89"/>
      <c r="D55" s="89" t="s">
        <v>126</v>
      </c>
      <c r="E55" s="89" t="s">
        <v>26</v>
      </c>
      <c r="F55" s="16">
        <v>1</v>
      </c>
      <c r="G55" s="91">
        <v>13.36</v>
      </c>
      <c r="H55" s="16" t="s">
        <v>127</v>
      </c>
      <c r="I55" s="16">
        <v>7.4901460000000003E-2</v>
      </c>
      <c r="J55" s="98">
        <v>53</v>
      </c>
      <c r="K55" s="105">
        <v>50</v>
      </c>
      <c r="L55" s="100"/>
      <c r="M55" s="74">
        <f t="shared" si="8"/>
        <v>0</v>
      </c>
      <c r="N55" s="95">
        <f t="shared" si="9"/>
        <v>0</v>
      </c>
      <c r="O55" s="95">
        <f t="shared" si="10"/>
        <v>0</v>
      </c>
      <c r="P55" s="95">
        <f t="shared" si="11"/>
        <v>0</v>
      </c>
      <c r="Q55" s="95" t="s">
        <v>331</v>
      </c>
    </row>
    <row r="56" spans="1:17" s="74" customFormat="1" ht="16.5">
      <c r="A56" s="16"/>
      <c r="B56" s="16" t="s">
        <v>17</v>
      </c>
      <c r="C56" s="89"/>
      <c r="D56" s="89" t="s">
        <v>126</v>
      </c>
      <c r="E56" s="89" t="s">
        <v>20</v>
      </c>
      <c r="F56" s="16">
        <v>1</v>
      </c>
      <c r="G56" s="91">
        <v>13.36</v>
      </c>
      <c r="H56" s="16" t="s">
        <v>127</v>
      </c>
      <c r="I56" s="16">
        <v>7.4901460000000003E-2</v>
      </c>
      <c r="J56" s="98">
        <v>53</v>
      </c>
      <c r="K56" s="105">
        <v>50</v>
      </c>
      <c r="L56" s="100"/>
      <c r="M56" s="74">
        <f t="shared" si="8"/>
        <v>0</v>
      </c>
      <c r="N56" s="95">
        <f t="shared" si="9"/>
        <v>0</v>
      </c>
      <c r="O56" s="95">
        <f t="shared" si="10"/>
        <v>0</v>
      </c>
      <c r="P56" s="95">
        <f t="shared" si="11"/>
        <v>0</v>
      </c>
      <c r="Q56" s="95" t="s">
        <v>332</v>
      </c>
    </row>
    <row r="57" spans="1:17" s="1" customFormat="1" ht="16" customHeight="1">
      <c r="A57" s="16"/>
      <c r="B57" s="16" t="s">
        <v>132</v>
      </c>
      <c r="C57" s="90"/>
      <c r="D57" s="16" t="s">
        <v>134</v>
      </c>
      <c r="E57" s="16" t="s">
        <v>26</v>
      </c>
      <c r="F57" s="16">
        <v>40</v>
      </c>
      <c r="G57" s="91">
        <v>2.0499999999999998</v>
      </c>
      <c r="H57" s="16" t="s">
        <v>135</v>
      </c>
      <c r="I57" s="16">
        <v>1.6364279999999998E-2</v>
      </c>
      <c r="J57" s="98">
        <v>3.4</v>
      </c>
      <c r="K57" s="93">
        <v>1000</v>
      </c>
      <c r="L57" s="94"/>
      <c r="M57" s="74">
        <f t="shared" ref="M57:M72" si="12">L57/F57</f>
        <v>0</v>
      </c>
      <c r="N57" s="95">
        <f t="shared" ref="N57:N72" si="13">M57*G57</f>
        <v>0</v>
      </c>
      <c r="O57" s="95">
        <f t="shared" ref="O57:O72" si="14">I57*M57</f>
        <v>0</v>
      </c>
      <c r="P57" s="95">
        <f t="shared" ref="P57:P72" si="15">L57*J57</f>
        <v>0</v>
      </c>
      <c r="Q57" s="95" t="s">
        <v>342</v>
      </c>
    </row>
    <row r="58" spans="1:17" s="1" customFormat="1" ht="16" customHeight="1">
      <c r="A58" s="16"/>
      <c r="B58" s="16" t="s">
        <v>132</v>
      </c>
      <c r="C58" s="90"/>
      <c r="D58" s="16" t="s">
        <v>134</v>
      </c>
      <c r="E58" s="16" t="s">
        <v>29</v>
      </c>
      <c r="F58" s="16">
        <v>40</v>
      </c>
      <c r="G58" s="91">
        <v>2.0499999999999998</v>
      </c>
      <c r="H58" s="16" t="s">
        <v>135</v>
      </c>
      <c r="I58" s="16">
        <v>1.6364279999999998E-2</v>
      </c>
      <c r="J58" s="98">
        <v>3.4</v>
      </c>
      <c r="K58" s="93">
        <v>1000</v>
      </c>
      <c r="L58" s="94"/>
      <c r="M58" s="74">
        <f t="shared" si="12"/>
        <v>0</v>
      </c>
      <c r="N58" s="95">
        <f t="shared" si="13"/>
        <v>0</v>
      </c>
      <c r="O58" s="95">
        <f t="shared" si="14"/>
        <v>0</v>
      </c>
      <c r="P58" s="95">
        <f t="shared" si="15"/>
        <v>0</v>
      </c>
      <c r="Q58" s="95" t="s">
        <v>343</v>
      </c>
    </row>
    <row r="59" spans="1:17" customFormat="1" ht="16" customHeight="1">
      <c r="A59" s="1"/>
      <c r="B59" s="106" t="s">
        <v>132</v>
      </c>
      <c r="C59" s="112"/>
      <c r="D59" s="106" t="s">
        <v>142</v>
      </c>
      <c r="E59" s="113" t="s">
        <v>29</v>
      </c>
      <c r="F59" s="106">
        <v>80</v>
      </c>
      <c r="G59" s="107">
        <v>7.6</v>
      </c>
      <c r="H59" s="106" t="s">
        <v>143</v>
      </c>
      <c r="I59" s="106">
        <v>3.0180792000000001E-2</v>
      </c>
      <c r="J59" s="108">
        <v>13</v>
      </c>
      <c r="K59" s="111">
        <v>160</v>
      </c>
      <c r="L59" s="109"/>
      <c r="M59" s="75">
        <f t="shared" si="12"/>
        <v>0</v>
      </c>
      <c r="N59" s="110">
        <f t="shared" si="13"/>
        <v>0</v>
      </c>
      <c r="O59" s="110">
        <f t="shared" si="14"/>
        <v>0</v>
      </c>
      <c r="P59" s="110">
        <f t="shared" si="15"/>
        <v>0</v>
      </c>
      <c r="Q59" s="114" t="s">
        <v>144</v>
      </c>
    </row>
    <row r="60" spans="1:17" customFormat="1" ht="16" customHeight="1">
      <c r="A60" s="1"/>
      <c r="B60" s="106" t="s">
        <v>132</v>
      </c>
      <c r="C60" s="112"/>
      <c r="D60" s="106" t="s">
        <v>142</v>
      </c>
      <c r="E60" s="113" t="s">
        <v>130</v>
      </c>
      <c r="F60" s="106">
        <v>80</v>
      </c>
      <c r="G60" s="107">
        <v>7.6</v>
      </c>
      <c r="H60" s="106" t="s">
        <v>143</v>
      </c>
      <c r="I60" s="106">
        <v>3.0180792000000001E-2</v>
      </c>
      <c r="J60" s="108">
        <v>13</v>
      </c>
      <c r="K60" s="111">
        <v>160</v>
      </c>
      <c r="L60" s="109"/>
      <c r="M60" s="75">
        <f t="shared" si="12"/>
        <v>0</v>
      </c>
      <c r="N60" s="110">
        <f t="shared" si="13"/>
        <v>0</v>
      </c>
      <c r="O60" s="110">
        <f t="shared" si="14"/>
        <v>0</v>
      </c>
      <c r="P60" s="110">
        <f t="shared" si="15"/>
        <v>0</v>
      </c>
      <c r="Q60" s="114" t="s">
        <v>145</v>
      </c>
    </row>
    <row r="61" spans="1:17" customFormat="1" ht="16" customHeight="1">
      <c r="A61" s="1"/>
      <c r="B61" s="106" t="s">
        <v>132</v>
      </c>
      <c r="C61" s="112"/>
      <c r="D61" s="106" t="s">
        <v>142</v>
      </c>
      <c r="E61" s="113" t="s">
        <v>141</v>
      </c>
      <c r="F61" s="106">
        <v>80</v>
      </c>
      <c r="G61" s="107">
        <v>7.6</v>
      </c>
      <c r="H61" s="106" t="s">
        <v>143</v>
      </c>
      <c r="I61" s="106">
        <v>3.0180792000000001E-2</v>
      </c>
      <c r="J61" s="108">
        <v>13</v>
      </c>
      <c r="K61" s="111">
        <v>160</v>
      </c>
      <c r="L61" s="109"/>
      <c r="M61" s="75">
        <f t="shared" si="12"/>
        <v>0</v>
      </c>
      <c r="N61" s="110">
        <f t="shared" si="13"/>
        <v>0</v>
      </c>
      <c r="O61" s="110">
        <f t="shared" si="14"/>
        <v>0</v>
      </c>
      <c r="P61" s="110">
        <f t="shared" si="15"/>
        <v>0</v>
      </c>
      <c r="Q61" s="114" t="s">
        <v>146</v>
      </c>
    </row>
    <row r="62" spans="1:17" customFormat="1" ht="16" customHeight="1">
      <c r="A62" s="1"/>
      <c r="B62" s="106" t="s">
        <v>132</v>
      </c>
      <c r="C62" s="112"/>
      <c r="D62" s="106" t="s">
        <v>142</v>
      </c>
      <c r="E62" s="113" t="s">
        <v>26</v>
      </c>
      <c r="F62" s="106">
        <v>80</v>
      </c>
      <c r="G62" s="107">
        <v>7.6</v>
      </c>
      <c r="H62" s="106" t="s">
        <v>143</v>
      </c>
      <c r="I62" s="106">
        <v>3.0180792000000001E-2</v>
      </c>
      <c r="J62" s="108">
        <v>13</v>
      </c>
      <c r="K62" s="111">
        <v>160</v>
      </c>
      <c r="L62" s="109"/>
      <c r="M62" s="75">
        <f t="shared" si="12"/>
        <v>0</v>
      </c>
      <c r="N62" s="110">
        <f t="shared" si="13"/>
        <v>0</v>
      </c>
      <c r="O62" s="110">
        <f t="shared" si="14"/>
        <v>0</v>
      </c>
      <c r="P62" s="110">
        <f t="shared" si="15"/>
        <v>0</v>
      </c>
      <c r="Q62" s="114" t="s">
        <v>147</v>
      </c>
    </row>
    <row r="63" spans="1:17" customFormat="1" ht="16" customHeight="1">
      <c r="A63" s="1"/>
      <c r="B63" s="115" t="s">
        <v>132</v>
      </c>
      <c r="C63" s="121"/>
      <c r="D63" s="115" t="s">
        <v>148</v>
      </c>
      <c r="E63" s="122" t="s">
        <v>26</v>
      </c>
      <c r="F63" s="115">
        <v>20</v>
      </c>
      <c r="G63" s="116">
        <v>6.3</v>
      </c>
      <c r="H63" s="115" t="s">
        <v>149</v>
      </c>
      <c r="I63" s="115">
        <v>3.9091710000000002E-2</v>
      </c>
      <c r="J63" s="117"/>
      <c r="K63" s="118">
        <v>100</v>
      </c>
      <c r="L63" s="123"/>
      <c r="M63" s="119">
        <f t="shared" si="12"/>
        <v>0</v>
      </c>
      <c r="N63" s="120">
        <f t="shared" si="13"/>
        <v>0</v>
      </c>
      <c r="O63" s="120">
        <f t="shared" si="14"/>
        <v>0</v>
      </c>
      <c r="P63" s="120">
        <f t="shared" si="15"/>
        <v>0</v>
      </c>
      <c r="Q63" s="124" t="s">
        <v>150</v>
      </c>
    </row>
    <row r="64" spans="1:17" customFormat="1" ht="16" customHeight="1">
      <c r="A64" s="1"/>
      <c r="B64" s="115" t="s">
        <v>132</v>
      </c>
      <c r="C64" s="121"/>
      <c r="D64" s="115" t="s">
        <v>148</v>
      </c>
      <c r="E64" s="122" t="s">
        <v>29</v>
      </c>
      <c r="F64" s="115">
        <v>20</v>
      </c>
      <c r="G64" s="116">
        <v>6.3</v>
      </c>
      <c r="H64" s="115" t="s">
        <v>149</v>
      </c>
      <c r="I64" s="115">
        <v>3.9091710000000002E-2</v>
      </c>
      <c r="J64" s="117"/>
      <c r="K64" s="118">
        <v>100</v>
      </c>
      <c r="L64" s="123"/>
      <c r="M64" s="119">
        <f t="shared" si="12"/>
        <v>0</v>
      </c>
      <c r="N64" s="120">
        <f t="shared" si="13"/>
        <v>0</v>
      </c>
      <c r="O64" s="120">
        <f t="shared" si="14"/>
        <v>0</v>
      </c>
      <c r="P64" s="120">
        <f t="shared" si="15"/>
        <v>0</v>
      </c>
      <c r="Q64" s="124" t="s">
        <v>151</v>
      </c>
    </row>
    <row r="65" spans="1:17" customFormat="1" ht="16" customHeight="1">
      <c r="A65" s="1"/>
      <c r="B65" s="115" t="s">
        <v>132</v>
      </c>
      <c r="C65" s="121"/>
      <c r="D65" s="115" t="s">
        <v>148</v>
      </c>
      <c r="E65" s="122" t="s">
        <v>141</v>
      </c>
      <c r="F65" s="115">
        <v>20</v>
      </c>
      <c r="G65" s="116">
        <v>6.3</v>
      </c>
      <c r="H65" s="115" t="s">
        <v>149</v>
      </c>
      <c r="I65" s="115">
        <v>3.9091710000000002E-2</v>
      </c>
      <c r="J65" s="117"/>
      <c r="K65" s="118">
        <v>100</v>
      </c>
      <c r="L65" s="123"/>
      <c r="M65" s="119">
        <f t="shared" si="12"/>
        <v>0</v>
      </c>
      <c r="N65" s="120">
        <f t="shared" si="13"/>
        <v>0</v>
      </c>
      <c r="O65" s="120">
        <f t="shared" si="14"/>
        <v>0</v>
      </c>
      <c r="P65" s="120">
        <f t="shared" si="15"/>
        <v>0</v>
      </c>
      <c r="Q65" s="124" t="s">
        <v>152</v>
      </c>
    </row>
    <row r="66" spans="1:17" s="74" customFormat="1">
      <c r="A66" s="16"/>
      <c r="B66" s="16" t="s">
        <v>132</v>
      </c>
      <c r="C66" s="16"/>
      <c r="D66" s="16" t="s">
        <v>157</v>
      </c>
      <c r="E66" s="16" t="s">
        <v>20</v>
      </c>
      <c r="F66" s="16">
        <v>20</v>
      </c>
      <c r="G66" s="16">
        <v>10.24</v>
      </c>
      <c r="H66" s="16" t="s">
        <v>158</v>
      </c>
      <c r="I66" s="16">
        <v>6.3388799999999995E-2</v>
      </c>
      <c r="J66" s="99">
        <v>18</v>
      </c>
      <c r="K66" s="16">
        <v>5000</v>
      </c>
      <c r="L66" s="100"/>
      <c r="M66" s="76">
        <f t="shared" si="12"/>
        <v>0</v>
      </c>
      <c r="N66" s="79">
        <f t="shared" si="13"/>
        <v>0</v>
      </c>
      <c r="O66" s="79">
        <f t="shared" si="14"/>
        <v>0</v>
      </c>
      <c r="P66" s="79">
        <f t="shared" si="15"/>
        <v>0</v>
      </c>
      <c r="Q66" s="79" t="s">
        <v>344</v>
      </c>
    </row>
    <row r="67" spans="1:17" s="74" customFormat="1">
      <c r="A67" s="16"/>
      <c r="B67" s="16" t="s">
        <v>132</v>
      </c>
      <c r="C67" s="16"/>
      <c r="D67" s="16" t="s">
        <v>157</v>
      </c>
      <c r="E67" s="16" t="s">
        <v>156</v>
      </c>
      <c r="F67" s="16">
        <v>20</v>
      </c>
      <c r="G67" s="16">
        <v>10.24</v>
      </c>
      <c r="H67" s="16" t="s">
        <v>158</v>
      </c>
      <c r="I67" s="16">
        <v>6.3388799999999995E-2</v>
      </c>
      <c r="J67" s="99">
        <v>18</v>
      </c>
      <c r="K67" s="16">
        <v>5000</v>
      </c>
      <c r="L67" s="100"/>
      <c r="M67" s="76">
        <f t="shared" si="12"/>
        <v>0</v>
      </c>
      <c r="N67" s="79">
        <f t="shared" si="13"/>
        <v>0</v>
      </c>
      <c r="O67" s="79">
        <f t="shared" si="14"/>
        <v>0</v>
      </c>
      <c r="P67" s="79">
        <f t="shared" si="15"/>
        <v>0</v>
      </c>
      <c r="Q67" s="79" t="s">
        <v>345</v>
      </c>
    </row>
    <row r="68" spans="1:17" s="74" customFormat="1">
      <c r="A68" s="16"/>
      <c r="B68" s="16" t="s">
        <v>132</v>
      </c>
      <c r="C68" s="16"/>
      <c r="D68" s="16" t="s">
        <v>157</v>
      </c>
      <c r="E68" s="16" t="s">
        <v>109</v>
      </c>
      <c r="F68" s="16">
        <v>20</v>
      </c>
      <c r="G68" s="16">
        <v>10.24</v>
      </c>
      <c r="H68" s="16" t="s">
        <v>158</v>
      </c>
      <c r="I68" s="16">
        <v>6.3388799999999995E-2</v>
      </c>
      <c r="J68" s="98">
        <v>19</v>
      </c>
      <c r="K68" s="16">
        <v>5000</v>
      </c>
      <c r="L68" s="100"/>
      <c r="M68" s="76">
        <f t="shared" si="12"/>
        <v>0</v>
      </c>
      <c r="N68" s="79">
        <f t="shared" si="13"/>
        <v>0</v>
      </c>
      <c r="O68" s="79">
        <f t="shared" si="14"/>
        <v>0</v>
      </c>
      <c r="P68" s="79">
        <f t="shared" si="15"/>
        <v>0</v>
      </c>
      <c r="Q68" s="79" t="s">
        <v>346</v>
      </c>
    </row>
    <row r="69" spans="1:17" s="74" customFormat="1">
      <c r="A69" s="16"/>
      <c r="B69" s="16" t="s">
        <v>132</v>
      </c>
      <c r="C69" s="16"/>
      <c r="D69" s="96" t="s">
        <v>159</v>
      </c>
      <c r="E69" s="96" t="s">
        <v>26</v>
      </c>
      <c r="F69" s="96">
        <v>10</v>
      </c>
      <c r="G69" s="96">
        <v>7.79</v>
      </c>
      <c r="H69" s="96" t="s">
        <v>160</v>
      </c>
      <c r="I69" s="96">
        <v>4.1191999999999999E-2</v>
      </c>
      <c r="J69" s="99">
        <v>58</v>
      </c>
      <c r="K69" s="16">
        <v>40</v>
      </c>
      <c r="L69" s="100"/>
      <c r="M69" s="76">
        <f t="shared" si="12"/>
        <v>0</v>
      </c>
      <c r="N69" s="79">
        <f t="shared" si="13"/>
        <v>0</v>
      </c>
      <c r="O69" s="79">
        <f t="shared" si="14"/>
        <v>0</v>
      </c>
      <c r="P69" s="79">
        <f t="shared" si="15"/>
        <v>0</v>
      </c>
      <c r="Q69" s="79" t="s">
        <v>348</v>
      </c>
    </row>
    <row r="70" spans="1:17" s="74" customFormat="1">
      <c r="A70" s="16"/>
      <c r="B70" s="16" t="s">
        <v>132</v>
      </c>
      <c r="C70" s="16"/>
      <c r="D70" s="96" t="s">
        <v>159</v>
      </c>
      <c r="E70" s="96" t="s">
        <v>109</v>
      </c>
      <c r="F70" s="96">
        <v>10</v>
      </c>
      <c r="G70" s="96">
        <v>7.79</v>
      </c>
      <c r="H70" s="96" t="s">
        <v>160</v>
      </c>
      <c r="I70" s="96">
        <v>4.1191999999999999E-2</v>
      </c>
      <c r="J70" s="99">
        <v>58</v>
      </c>
      <c r="K70" s="16">
        <v>40</v>
      </c>
      <c r="L70" s="100"/>
      <c r="M70" s="76">
        <f t="shared" si="12"/>
        <v>0</v>
      </c>
      <c r="N70" s="79">
        <f t="shared" si="13"/>
        <v>0</v>
      </c>
      <c r="O70" s="79">
        <f t="shared" si="14"/>
        <v>0</v>
      </c>
      <c r="P70" s="79">
        <f t="shared" si="15"/>
        <v>0</v>
      </c>
      <c r="Q70" s="79" t="s">
        <v>349</v>
      </c>
    </row>
    <row r="71" spans="1:17" s="74" customFormat="1" ht="16.5">
      <c r="A71" s="16"/>
      <c r="B71" s="16" t="s">
        <v>132</v>
      </c>
      <c r="C71" s="89"/>
      <c r="D71" s="89" t="s">
        <v>161</v>
      </c>
      <c r="E71" s="89" t="s">
        <v>26</v>
      </c>
      <c r="F71" s="16">
        <v>80</v>
      </c>
      <c r="G71" s="91">
        <v>8.77</v>
      </c>
      <c r="H71" s="16" t="s">
        <v>162</v>
      </c>
      <c r="I71" s="16">
        <v>3.2043824999999998E-2</v>
      </c>
      <c r="J71" s="98"/>
      <c r="K71" s="105">
        <v>80</v>
      </c>
      <c r="L71" s="100"/>
      <c r="M71" s="74">
        <f t="shared" si="12"/>
        <v>0</v>
      </c>
      <c r="N71" s="95">
        <f t="shared" si="13"/>
        <v>0</v>
      </c>
      <c r="O71" s="95">
        <f t="shared" si="14"/>
        <v>0</v>
      </c>
      <c r="P71" s="95">
        <f t="shared" si="15"/>
        <v>0</v>
      </c>
      <c r="Q71" s="95" t="s">
        <v>350</v>
      </c>
    </row>
    <row r="72" spans="1:17" s="74" customFormat="1" ht="16.5">
      <c r="A72" s="16"/>
      <c r="B72" s="16" t="s">
        <v>132</v>
      </c>
      <c r="C72" s="89"/>
      <c r="D72" s="89" t="s">
        <v>161</v>
      </c>
      <c r="E72" s="89" t="s">
        <v>29</v>
      </c>
      <c r="F72" s="16">
        <v>80</v>
      </c>
      <c r="G72" s="91">
        <v>8.77</v>
      </c>
      <c r="H72" s="16" t="s">
        <v>162</v>
      </c>
      <c r="I72" s="16">
        <v>3.2043824999999998E-2</v>
      </c>
      <c r="J72" s="98"/>
      <c r="K72" s="105">
        <v>80</v>
      </c>
      <c r="L72" s="100"/>
      <c r="M72" s="74">
        <f t="shared" si="12"/>
        <v>0</v>
      </c>
      <c r="N72" s="95">
        <f t="shared" si="13"/>
        <v>0</v>
      </c>
      <c r="O72" s="95">
        <f t="shared" si="14"/>
        <v>0</v>
      </c>
      <c r="P72" s="95">
        <f t="shared" si="15"/>
        <v>0</v>
      </c>
      <c r="Q72" s="95" t="s">
        <v>351</v>
      </c>
    </row>
    <row r="73" spans="1:17" s="74" customFormat="1" ht="16.5">
      <c r="A73" s="16"/>
      <c r="B73" s="16" t="s">
        <v>132</v>
      </c>
      <c r="C73" s="89"/>
      <c r="D73" s="89" t="s">
        <v>163</v>
      </c>
      <c r="E73" s="89" t="s">
        <v>26</v>
      </c>
      <c r="F73" s="16">
        <v>20</v>
      </c>
      <c r="G73" s="91">
        <v>10.58</v>
      </c>
      <c r="H73" s="16" t="s">
        <v>158</v>
      </c>
      <c r="I73" s="16" t="s">
        <v>164</v>
      </c>
      <c r="J73" s="98">
        <v>30</v>
      </c>
      <c r="K73" s="105">
        <v>100</v>
      </c>
      <c r="L73" s="100"/>
      <c r="M73" s="74">
        <f t="shared" ref="M73:M82" si="16">L73/F73</f>
        <v>0</v>
      </c>
      <c r="N73" s="95">
        <f t="shared" ref="N73:N82" si="17">M73*G73</f>
        <v>0</v>
      </c>
      <c r="O73" s="95">
        <f t="shared" ref="O73:O82" si="18">I73*M73</f>
        <v>0</v>
      </c>
      <c r="P73" s="95">
        <f t="shared" ref="P73:P82" si="19">L73*J73</f>
        <v>0</v>
      </c>
      <c r="Q73" s="95" t="s">
        <v>347</v>
      </c>
    </row>
    <row r="74" spans="1:17" s="74" customFormat="1" ht="16.5">
      <c r="A74" s="16"/>
      <c r="B74" s="16" t="s">
        <v>132</v>
      </c>
      <c r="C74" s="89"/>
      <c r="D74" s="89" t="s">
        <v>163</v>
      </c>
      <c r="E74" s="89" t="s">
        <v>153</v>
      </c>
      <c r="F74" s="16">
        <v>20</v>
      </c>
      <c r="G74" s="91">
        <v>10.58</v>
      </c>
      <c r="H74" s="16" t="s">
        <v>158</v>
      </c>
      <c r="I74" s="16" t="s">
        <v>164</v>
      </c>
      <c r="J74" s="98">
        <v>30</v>
      </c>
      <c r="K74" s="105">
        <v>100</v>
      </c>
      <c r="L74" s="100"/>
      <c r="M74" s="74">
        <f t="shared" si="16"/>
        <v>0</v>
      </c>
      <c r="N74" s="95">
        <f t="shared" si="17"/>
        <v>0</v>
      </c>
      <c r="O74" s="95">
        <f t="shared" si="18"/>
        <v>0</v>
      </c>
      <c r="P74" s="95">
        <f t="shared" si="19"/>
        <v>0</v>
      </c>
      <c r="Q74" s="95" t="s">
        <v>352</v>
      </c>
    </row>
    <row r="75" spans="1:17" s="74" customFormat="1" ht="16.5">
      <c r="A75" s="16"/>
      <c r="B75" s="16" t="s">
        <v>132</v>
      </c>
      <c r="C75" s="89"/>
      <c r="D75" s="89" t="s">
        <v>163</v>
      </c>
      <c r="E75" s="89" t="s">
        <v>165</v>
      </c>
      <c r="F75" s="16">
        <v>20</v>
      </c>
      <c r="G75" s="91">
        <v>10.58</v>
      </c>
      <c r="H75" s="16" t="s">
        <v>158</v>
      </c>
      <c r="I75" s="16" t="s">
        <v>164</v>
      </c>
      <c r="J75" s="98">
        <v>30</v>
      </c>
      <c r="K75" s="105">
        <v>100</v>
      </c>
      <c r="L75" s="100"/>
      <c r="M75" s="74">
        <f t="shared" si="16"/>
        <v>0</v>
      </c>
      <c r="N75" s="95">
        <f t="shared" si="17"/>
        <v>0</v>
      </c>
      <c r="O75" s="95">
        <f t="shared" si="18"/>
        <v>0</v>
      </c>
      <c r="P75" s="95">
        <f t="shared" si="19"/>
        <v>0</v>
      </c>
      <c r="Q75" s="95" t="s">
        <v>353</v>
      </c>
    </row>
    <row r="76" spans="1:17" s="74" customFormat="1" ht="16.5">
      <c r="A76" s="16"/>
      <c r="B76" s="16" t="s">
        <v>132</v>
      </c>
      <c r="C76" s="89"/>
      <c r="D76" s="89" t="s">
        <v>166</v>
      </c>
      <c r="E76" s="89" t="s">
        <v>26</v>
      </c>
      <c r="F76" s="16">
        <v>20</v>
      </c>
      <c r="G76" s="91">
        <v>10.24</v>
      </c>
      <c r="H76" s="16" t="s">
        <v>158</v>
      </c>
      <c r="I76" s="16">
        <v>6.3388799999999995E-2</v>
      </c>
      <c r="J76" s="98">
        <v>22</v>
      </c>
      <c r="K76" s="105">
        <v>100</v>
      </c>
      <c r="L76" s="100"/>
      <c r="M76" s="74">
        <f t="shared" si="16"/>
        <v>0</v>
      </c>
      <c r="N76" s="95">
        <f t="shared" si="17"/>
        <v>0</v>
      </c>
      <c r="O76" s="95">
        <f t="shared" si="18"/>
        <v>0</v>
      </c>
      <c r="P76" s="95">
        <f t="shared" si="19"/>
        <v>0</v>
      </c>
      <c r="Q76" s="95" t="s">
        <v>354</v>
      </c>
    </row>
    <row r="77" spans="1:17" s="74" customFormat="1" ht="16.5">
      <c r="A77" s="16"/>
      <c r="B77" s="16" t="s">
        <v>132</v>
      </c>
      <c r="C77" s="89"/>
      <c r="D77" s="89" t="s">
        <v>166</v>
      </c>
      <c r="E77" s="89" t="s">
        <v>153</v>
      </c>
      <c r="F77" s="16">
        <v>20</v>
      </c>
      <c r="G77" s="91">
        <v>10.24</v>
      </c>
      <c r="H77" s="16" t="s">
        <v>158</v>
      </c>
      <c r="I77" s="16">
        <v>6.3388799999999995E-2</v>
      </c>
      <c r="J77" s="98">
        <v>22</v>
      </c>
      <c r="K77" s="105">
        <v>100</v>
      </c>
      <c r="L77" s="100"/>
      <c r="M77" s="74">
        <f t="shared" si="16"/>
        <v>0</v>
      </c>
      <c r="N77" s="95">
        <f t="shared" si="17"/>
        <v>0</v>
      </c>
      <c r="O77" s="95">
        <f t="shared" si="18"/>
        <v>0</v>
      </c>
      <c r="P77" s="95">
        <f t="shared" si="19"/>
        <v>0</v>
      </c>
      <c r="Q77" s="95" t="s">
        <v>355</v>
      </c>
    </row>
    <row r="78" spans="1:17" s="74" customFormat="1" ht="16.5">
      <c r="A78" s="16"/>
      <c r="B78" s="16" t="s">
        <v>132</v>
      </c>
      <c r="C78" s="89"/>
      <c r="D78" s="89" t="s">
        <v>166</v>
      </c>
      <c r="E78" s="89" t="s">
        <v>109</v>
      </c>
      <c r="F78" s="16">
        <v>20</v>
      </c>
      <c r="G78" s="91">
        <v>10.24</v>
      </c>
      <c r="H78" s="16" t="s">
        <v>158</v>
      </c>
      <c r="I78" s="16">
        <v>6.3388799999999995E-2</v>
      </c>
      <c r="J78" s="98">
        <v>22</v>
      </c>
      <c r="K78" s="105">
        <v>100</v>
      </c>
      <c r="L78" s="100"/>
      <c r="M78" s="74">
        <f t="shared" si="16"/>
        <v>0</v>
      </c>
      <c r="N78" s="95">
        <f t="shared" si="17"/>
        <v>0</v>
      </c>
      <c r="O78" s="95">
        <f t="shared" si="18"/>
        <v>0</v>
      </c>
      <c r="P78" s="95">
        <f t="shared" si="19"/>
        <v>0</v>
      </c>
      <c r="Q78" s="95" t="s">
        <v>356</v>
      </c>
    </row>
    <row r="79" spans="1:17" s="74" customFormat="1" ht="16.5">
      <c r="A79" s="16"/>
      <c r="B79" s="16" t="s">
        <v>132</v>
      </c>
      <c r="C79" s="89"/>
      <c r="D79" s="89" t="s">
        <v>167</v>
      </c>
      <c r="E79" s="89" t="s">
        <v>109</v>
      </c>
      <c r="F79" s="16">
        <v>20</v>
      </c>
      <c r="G79" s="91">
        <v>10.16</v>
      </c>
      <c r="H79" s="16" t="s">
        <v>168</v>
      </c>
      <c r="I79" s="16">
        <v>5.3356470000000003E-2</v>
      </c>
      <c r="J79" s="98">
        <v>30</v>
      </c>
      <c r="K79" s="105">
        <v>100</v>
      </c>
      <c r="L79" s="100"/>
      <c r="M79" s="74">
        <f t="shared" si="16"/>
        <v>0</v>
      </c>
      <c r="N79" s="95">
        <f t="shared" si="17"/>
        <v>0</v>
      </c>
      <c r="O79" s="95">
        <f t="shared" si="18"/>
        <v>0</v>
      </c>
      <c r="P79" s="95">
        <f t="shared" si="19"/>
        <v>0</v>
      </c>
      <c r="Q79" s="95" t="s">
        <v>357</v>
      </c>
    </row>
    <row r="80" spans="1:17" s="74" customFormat="1" ht="16.5">
      <c r="A80" s="16"/>
      <c r="B80" s="16" t="s">
        <v>132</v>
      </c>
      <c r="C80" s="89"/>
      <c r="D80" s="89" t="s">
        <v>167</v>
      </c>
      <c r="E80" s="89" t="s">
        <v>169</v>
      </c>
      <c r="F80" s="16">
        <v>20</v>
      </c>
      <c r="G80" s="91">
        <v>10.16</v>
      </c>
      <c r="H80" s="16" t="s">
        <v>168</v>
      </c>
      <c r="I80" s="16">
        <v>5.3356470000000003E-2</v>
      </c>
      <c r="J80" s="98">
        <v>30</v>
      </c>
      <c r="K80" s="105">
        <v>100</v>
      </c>
      <c r="L80" s="100"/>
      <c r="M80" s="74">
        <f t="shared" si="16"/>
        <v>0</v>
      </c>
      <c r="N80" s="95">
        <f t="shared" si="17"/>
        <v>0</v>
      </c>
      <c r="O80" s="95">
        <f t="shared" si="18"/>
        <v>0</v>
      </c>
      <c r="P80" s="95">
        <f t="shared" si="19"/>
        <v>0</v>
      </c>
      <c r="Q80" s="95" t="s">
        <v>358</v>
      </c>
    </row>
    <row r="81" spans="1:17" s="74" customFormat="1" ht="16.5">
      <c r="A81" s="16"/>
      <c r="B81" s="16" t="s">
        <v>132</v>
      </c>
      <c r="C81" s="89"/>
      <c r="D81" s="89" t="s">
        <v>167</v>
      </c>
      <c r="E81" s="89" t="s">
        <v>156</v>
      </c>
      <c r="F81" s="16">
        <v>20</v>
      </c>
      <c r="G81" s="91">
        <v>10.16</v>
      </c>
      <c r="H81" s="16" t="s">
        <v>168</v>
      </c>
      <c r="I81" s="16">
        <v>5.3356470000000003E-2</v>
      </c>
      <c r="J81" s="98">
        <v>30</v>
      </c>
      <c r="K81" s="105">
        <v>100</v>
      </c>
      <c r="L81" s="100"/>
      <c r="M81" s="74">
        <f t="shared" si="16"/>
        <v>0</v>
      </c>
      <c r="N81" s="95">
        <f t="shared" si="17"/>
        <v>0</v>
      </c>
      <c r="O81" s="95">
        <f t="shared" si="18"/>
        <v>0</v>
      </c>
      <c r="P81" s="95">
        <f t="shared" si="19"/>
        <v>0</v>
      </c>
      <c r="Q81" s="95" t="s">
        <v>359</v>
      </c>
    </row>
    <row r="82" spans="1:17" s="74" customFormat="1" ht="16.5">
      <c r="A82" s="16"/>
      <c r="B82" s="16" t="s">
        <v>132</v>
      </c>
      <c r="C82" s="89"/>
      <c r="D82" s="89" t="s">
        <v>167</v>
      </c>
      <c r="E82" s="89" t="s">
        <v>170</v>
      </c>
      <c r="F82" s="16">
        <v>20</v>
      </c>
      <c r="G82" s="91">
        <v>10.16</v>
      </c>
      <c r="H82" s="16" t="s">
        <v>168</v>
      </c>
      <c r="I82" s="16">
        <v>5.3356470000000003E-2</v>
      </c>
      <c r="J82" s="98">
        <v>30</v>
      </c>
      <c r="K82" s="105">
        <v>100</v>
      </c>
      <c r="L82" s="100"/>
      <c r="M82" s="74">
        <f t="shared" si="16"/>
        <v>0</v>
      </c>
      <c r="N82" s="95">
        <f t="shared" si="17"/>
        <v>0</v>
      </c>
      <c r="O82" s="95">
        <f t="shared" si="18"/>
        <v>0</v>
      </c>
      <c r="P82" s="95">
        <f t="shared" si="19"/>
        <v>0</v>
      </c>
      <c r="Q82" s="95" t="s">
        <v>360</v>
      </c>
    </row>
    <row r="83" spans="1:17" s="77" customFormat="1" ht="24.75" customHeight="1">
      <c r="A83" s="125" t="s">
        <v>171</v>
      </c>
      <c r="B83" s="16"/>
      <c r="C83" s="126"/>
      <c r="D83" s="126" t="s">
        <v>171</v>
      </c>
      <c r="E83" s="126" t="s">
        <v>171</v>
      </c>
      <c r="F83" s="126"/>
      <c r="G83" s="127"/>
      <c r="H83" s="126" t="s">
        <v>171</v>
      </c>
      <c r="I83" s="126"/>
      <c r="J83" s="128"/>
      <c r="K83" s="128"/>
      <c r="L83" s="129">
        <f>SUM(L2:L56)</f>
        <v>0</v>
      </c>
      <c r="M83" s="129">
        <f>SUM(M2:M56)</f>
        <v>0</v>
      </c>
      <c r="N83" s="130">
        <f>SUM(N2:N56)</f>
        <v>0</v>
      </c>
      <c r="O83" s="130">
        <f>SUM(O2:O56)</f>
        <v>0</v>
      </c>
      <c r="P83" s="130">
        <f>SUM(P2:P56)</f>
        <v>0</v>
      </c>
      <c r="Q83" s="131"/>
    </row>
    <row r="95" spans="1:17" s="74" customFormat="1">
      <c r="A95" s="16"/>
      <c r="B95" s="89"/>
      <c r="C95" s="89"/>
      <c r="D95" s="89"/>
      <c r="E95" s="89"/>
      <c r="F95" s="16"/>
      <c r="G95" s="16"/>
      <c r="H95" s="16"/>
      <c r="I95" s="16"/>
      <c r="J95" s="78"/>
      <c r="K95" s="132"/>
      <c r="N95" s="95"/>
      <c r="O95" s="95"/>
      <c r="P95" s="95"/>
      <c r="Q95" s="95"/>
    </row>
    <row r="96" spans="1:17" s="74" customFormat="1">
      <c r="A96" s="16"/>
      <c r="B96" s="89"/>
      <c r="C96" s="89"/>
      <c r="D96" s="89"/>
      <c r="E96" s="89"/>
      <c r="F96" s="16"/>
      <c r="G96" s="16"/>
      <c r="H96" s="16"/>
      <c r="I96" s="16"/>
      <c r="J96" s="78"/>
      <c r="K96" s="132"/>
      <c r="N96" s="95"/>
      <c r="O96" s="95"/>
      <c r="P96" s="95"/>
      <c r="Q96" s="95"/>
    </row>
    <row r="97" spans="1:17" s="74" customFormat="1">
      <c r="A97" s="16"/>
      <c r="B97" s="89"/>
      <c r="C97" s="89"/>
      <c r="D97" s="89"/>
      <c r="E97" s="89"/>
      <c r="F97" s="16"/>
      <c r="G97" s="16"/>
      <c r="H97" s="16"/>
      <c r="I97" s="16"/>
      <c r="J97" s="78"/>
      <c r="K97" s="132"/>
      <c r="N97" s="95"/>
      <c r="O97" s="95"/>
      <c r="P97" s="95"/>
      <c r="Q97" s="95"/>
    </row>
    <row r="98" spans="1:17" s="74" customFormat="1">
      <c r="A98" s="16"/>
      <c r="B98" s="89"/>
      <c r="C98" s="89"/>
      <c r="D98" s="89"/>
      <c r="E98" s="89"/>
      <c r="F98" s="16"/>
      <c r="G98" s="16"/>
      <c r="H98" s="16"/>
      <c r="I98" s="16"/>
      <c r="J98" s="78"/>
      <c r="K98" s="132"/>
      <c r="N98" s="95"/>
      <c r="O98" s="95"/>
      <c r="P98" s="95"/>
      <c r="Q98" s="95"/>
    </row>
    <row r="99" spans="1:17" s="74" customFormat="1">
      <c r="A99" s="16"/>
      <c r="B99" s="89"/>
      <c r="C99" s="89"/>
      <c r="D99" s="89"/>
      <c r="E99" s="89"/>
      <c r="F99" s="16"/>
      <c r="G99" s="16"/>
      <c r="H99" s="16"/>
      <c r="I99" s="16"/>
      <c r="J99" s="78"/>
      <c r="K99" s="132"/>
      <c r="N99" s="95"/>
      <c r="O99" s="95"/>
      <c r="P99" s="95"/>
      <c r="Q99" s="95"/>
    </row>
    <row r="100" spans="1:17" s="74" customFormat="1">
      <c r="A100" s="16"/>
      <c r="B100" s="89"/>
      <c r="C100" s="89"/>
      <c r="D100" s="89"/>
      <c r="E100" s="89"/>
      <c r="F100" s="16"/>
      <c r="G100" s="16"/>
      <c r="H100" s="16"/>
      <c r="I100" s="16"/>
      <c r="J100" s="78"/>
      <c r="K100" s="132"/>
      <c r="N100" s="95"/>
      <c r="O100" s="95"/>
      <c r="P100" s="95"/>
      <c r="Q100" s="95"/>
    </row>
    <row r="101" spans="1:17" s="74" customFormat="1">
      <c r="A101" s="16"/>
      <c r="B101" s="89"/>
      <c r="C101" s="89"/>
      <c r="D101" s="89"/>
      <c r="E101" s="89"/>
      <c r="F101" s="16"/>
      <c r="G101" s="16"/>
      <c r="H101" s="16"/>
      <c r="I101" s="16"/>
      <c r="J101" s="132"/>
      <c r="K101" s="132"/>
      <c r="N101" s="95"/>
      <c r="O101" s="95"/>
      <c r="P101" s="95"/>
      <c r="Q101" s="95"/>
    </row>
    <row r="102" spans="1:17" s="74" customFormat="1">
      <c r="A102" s="16"/>
      <c r="B102" s="89"/>
      <c r="C102" s="89"/>
      <c r="D102" s="89"/>
      <c r="E102" s="89"/>
      <c r="F102" s="16"/>
      <c r="G102" s="16"/>
      <c r="H102" s="16"/>
      <c r="I102" s="16"/>
      <c r="J102" s="132"/>
      <c r="K102" s="132"/>
      <c r="N102" s="95"/>
      <c r="O102" s="95"/>
      <c r="P102" s="95"/>
      <c r="Q102" s="95"/>
    </row>
    <row r="103" spans="1:17" s="74" customFormat="1">
      <c r="A103" s="16"/>
      <c r="B103" s="89"/>
      <c r="C103" s="89"/>
      <c r="D103" s="89"/>
      <c r="E103" s="89"/>
      <c r="F103" s="16"/>
      <c r="G103" s="16"/>
      <c r="H103" s="16"/>
      <c r="I103" s="16"/>
      <c r="J103" s="132"/>
      <c r="K103" s="132"/>
      <c r="N103" s="95"/>
      <c r="O103" s="95"/>
      <c r="P103" s="95"/>
      <c r="Q103" s="95"/>
    </row>
    <row r="104" spans="1:17" s="74" customFormat="1">
      <c r="A104" s="16"/>
      <c r="B104" s="89"/>
      <c r="C104" s="89"/>
      <c r="D104" s="89"/>
      <c r="E104" s="89"/>
      <c r="F104" s="16"/>
      <c r="G104" s="16"/>
      <c r="H104" s="16"/>
      <c r="I104" s="16"/>
      <c r="J104" s="132"/>
      <c r="K104" s="132"/>
      <c r="N104" s="95"/>
      <c r="O104" s="95"/>
      <c r="P104" s="95"/>
      <c r="Q104" s="95"/>
    </row>
    <row r="105" spans="1:17" s="74" customFormat="1">
      <c r="A105" s="16"/>
      <c r="B105" s="89"/>
      <c r="C105" s="89"/>
      <c r="D105" s="89"/>
      <c r="E105" s="89"/>
      <c r="F105" s="16"/>
      <c r="G105" s="16"/>
      <c r="H105" s="16"/>
      <c r="I105" s="16"/>
      <c r="J105" s="132"/>
      <c r="K105" s="132"/>
      <c r="N105" s="95"/>
      <c r="O105" s="95"/>
      <c r="P105" s="95"/>
      <c r="Q105" s="95"/>
    </row>
    <row r="106" spans="1:17" s="74" customFormat="1">
      <c r="A106" s="16"/>
      <c r="B106" s="89"/>
      <c r="C106" s="89"/>
      <c r="D106" s="89"/>
      <c r="E106" s="89"/>
      <c r="F106" s="16"/>
      <c r="G106" s="16"/>
      <c r="H106" s="16"/>
      <c r="I106" s="16"/>
      <c r="J106" s="132"/>
      <c r="K106" s="132"/>
      <c r="N106" s="95"/>
      <c r="O106" s="95"/>
      <c r="P106" s="95"/>
      <c r="Q106" s="95"/>
    </row>
    <row r="107" spans="1:17" s="74" customFormat="1">
      <c r="A107" s="16"/>
      <c r="B107" s="89"/>
      <c r="C107" s="89"/>
      <c r="D107" s="89"/>
      <c r="E107" s="89"/>
      <c r="F107" s="16"/>
      <c r="G107" s="16"/>
      <c r="H107" s="16"/>
      <c r="I107" s="16"/>
      <c r="J107" s="132"/>
      <c r="K107" s="132"/>
      <c r="N107" s="95"/>
      <c r="O107" s="95"/>
      <c r="P107" s="95"/>
      <c r="Q107" s="95"/>
    </row>
    <row r="108" spans="1:17" s="74" customFormat="1">
      <c r="A108" s="16"/>
      <c r="B108" s="89"/>
      <c r="C108" s="89"/>
      <c r="D108" s="89"/>
      <c r="E108" s="89"/>
      <c r="F108" s="16"/>
      <c r="G108" s="16"/>
      <c r="H108" s="16"/>
      <c r="I108" s="16"/>
      <c r="J108" s="132"/>
      <c r="K108" s="132"/>
      <c r="N108" s="95"/>
      <c r="O108" s="95"/>
      <c r="P108" s="95"/>
      <c r="Q108" s="95"/>
    </row>
    <row r="109" spans="1:17" s="74" customFormat="1">
      <c r="A109" s="16"/>
      <c r="B109" s="89"/>
      <c r="C109" s="89"/>
      <c r="D109" s="89"/>
      <c r="E109" s="89"/>
      <c r="F109" s="16"/>
      <c r="G109" s="16"/>
      <c r="H109" s="16"/>
      <c r="I109" s="16"/>
      <c r="J109" s="132"/>
      <c r="K109" s="132"/>
      <c r="N109" s="95"/>
      <c r="O109" s="95"/>
      <c r="P109" s="95"/>
      <c r="Q109" s="95"/>
    </row>
    <row r="110" spans="1:17" s="74" customFormat="1">
      <c r="A110" s="16"/>
      <c r="B110" s="89"/>
      <c r="C110" s="89"/>
      <c r="D110" s="89"/>
      <c r="E110" s="89"/>
      <c r="F110" s="16"/>
      <c r="G110" s="16"/>
      <c r="H110" s="16"/>
      <c r="I110" s="16"/>
      <c r="J110" s="132"/>
      <c r="K110" s="132"/>
      <c r="N110" s="95"/>
      <c r="O110" s="95"/>
      <c r="P110" s="95"/>
      <c r="Q110" s="95"/>
    </row>
    <row r="111" spans="1:17" s="74" customFormat="1">
      <c r="A111" s="16"/>
      <c r="B111" s="89"/>
      <c r="C111" s="89"/>
      <c r="D111" s="89"/>
      <c r="E111" s="89"/>
      <c r="F111" s="16"/>
      <c r="G111" s="16"/>
      <c r="H111" s="16"/>
      <c r="I111" s="16"/>
      <c r="J111" s="132"/>
      <c r="K111" s="132"/>
      <c r="N111" s="95"/>
      <c r="O111" s="95"/>
      <c r="P111" s="95"/>
      <c r="Q111" s="95"/>
    </row>
    <row r="112" spans="1:17" s="74" customFormat="1">
      <c r="A112" s="16"/>
      <c r="B112" s="89"/>
      <c r="C112" s="89"/>
      <c r="D112" s="89"/>
      <c r="E112" s="89"/>
      <c r="F112" s="16"/>
      <c r="G112" s="16"/>
      <c r="H112" s="16"/>
      <c r="I112" s="16"/>
      <c r="J112" s="132"/>
      <c r="K112" s="132"/>
      <c r="N112" s="95"/>
      <c r="O112" s="95"/>
      <c r="P112" s="95"/>
      <c r="Q112" s="95"/>
    </row>
    <row r="113" spans="1:17" s="74" customFormat="1">
      <c r="A113" s="16"/>
      <c r="B113" s="89"/>
      <c r="C113" s="89"/>
      <c r="D113" s="89"/>
      <c r="E113" s="89"/>
      <c r="F113" s="16"/>
      <c r="G113" s="16"/>
      <c r="H113" s="16"/>
      <c r="I113" s="16"/>
      <c r="J113" s="132"/>
      <c r="K113" s="132"/>
      <c r="N113" s="95"/>
      <c r="O113" s="95"/>
      <c r="P113" s="95"/>
      <c r="Q113" s="95"/>
    </row>
    <row r="114" spans="1:17" s="74" customFormat="1">
      <c r="A114" s="16"/>
      <c r="B114" s="133"/>
      <c r="C114" s="133"/>
      <c r="D114" s="133"/>
      <c r="E114" s="133"/>
      <c r="F114" s="16"/>
      <c r="G114" s="16"/>
      <c r="H114" s="16"/>
      <c r="I114" s="16"/>
      <c r="J114" s="132"/>
      <c r="K114" s="132"/>
      <c r="N114" s="95"/>
      <c r="O114" s="95"/>
      <c r="P114" s="95"/>
      <c r="Q114" s="95"/>
    </row>
    <row r="115" spans="1:17" s="74" customFormat="1">
      <c r="A115" s="16"/>
      <c r="B115" s="133"/>
      <c r="C115" s="133"/>
      <c r="D115" s="133"/>
      <c r="E115" s="133"/>
      <c r="F115" s="16"/>
      <c r="G115" s="16"/>
      <c r="H115" s="16"/>
      <c r="I115" s="16"/>
      <c r="J115" s="132"/>
      <c r="K115" s="132"/>
      <c r="N115" s="95"/>
      <c r="O115" s="95"/>
      <c r="P115" s="95"/>
      <c r="Q115" s="95"/>
    </row>
    <row r="116" spans="1:17" s="74" customFormat="1">
      <c r="A116" s="16"/>
      <c r="B116" s="133"/>
      <c r="C116" s="133"/>
      <c r="D116" s="133"/>
      <c r="E116" s="133"/>
      <c r="F116" s="16"/>
      <c r="G116" s="16"/>
      <c r="H116" s="16"/>
      <c r="I116" s="16"/>
      <c r="J116" s="132"/>
      <c r="K116" s="132"/>
      <c r="N116" s="95"/>
      <c r="O116" s="95"/>
      <c r="P116" s="95"/>
      <c r="Q116" s="95"/>
    </row>
    <row r="117" spans="1:17">
      <c r="D117" s="134"/>
      <c r="E117" s="134"/>
    </row>
    <row r="118" spans="1:17">
      <c r="A118" s="76"/>
      <c r="D118" s="135" t="s">
        <v>172</v>
      </c>
      <c r="E118" s="135">
        <v>10</v>
      </c>
      <c r="F118" s="76"/>
      <c r="G118" s="76"/>
      <c r="H118" s="76"/>
      <c r="I118" s="76"/>
      <c r="J118" s="76"/>
      <c r="K118" s="16"/>
      <c r="N118" s="76"/>
      <c r="O118" s="76"/>
      <c r="P118" s="76"/>
      <c r="Q118" s="76"/>
    </row>
    <row r="119" spans="1:17">
      <c r="A119" s="76"/>
      <c r="D119" s="136" t="s">
        <v>173</v>
      </c>
      <c r="E119" s="135">
        <v>40</v>
      </c>
      <c r="F119" s="76"/>
      <c r="G119" s="76"/>
      <c r="H119" s="76"/>
      <c r="I119" s="76"/>
      <c r="J119" s="76"/>
      <c r="K119" s="16"/>
      <c r="N119" s="76"/>
      <c r="O119" s="76"/>
      <c r="P119" s="76"/>
      <c r="Q119" s="76"/>
    </row>
    <row r="120" spans="1:17">
      <c r="A120" s="76"/>
      <c r="D120" s="135" t="s">
        <v>174</v>
      </c>
      <c r="E120" s="137">
        <v>2733</v>
      </c>
      <c r="F120" s="76"/>
      <c r="G120" s="76"/>
      <c r="H120" s="76"/>
      <c r="I120" s="76"/>
      <c r="J120" s="76"/>
      <c r="K120" s="16"/>
      <c r="N120" s="76"/>
      <c r="O120" s="76"/>
      <c r="P120" s="76"/>
      <c r="Q120" s="76"/>
    </row>
    <row r="121" spans="1:17">
      <c r="A121" s="76"/>
      <c r="D121" s="135" t="s">
        <v>175</v>
      </c>
      <c r="E121" s="135">
        <v>18</v>
      </c>
      <c r="F121" s="76"/>
      <c r="G121" s="76"/>
      <c r="H121" s="76"/>
      <c r="I121" s="76"/>
      <c r="J121" s="76"/>
      <c r="K121" s="16"/>
      <c r="N121" s="76"/>
      <c r="O121" s="76"/>
      <c r="P121" s="76"/>
      <c r="Q121" s="76"/>
    </row>
    <row r="122" spans="1:17">
      <c r="A122" s="76"/>
      <c r="D122" s="135"/>
      <c r="E122" s="135">
        <f>SUBTOTAL(9,E118:E121)</f>
        <v>2801</v>
      </c>
      <c r="F122" s="76"/>
      <c r="G122" s="76"/>
      <c r="H122" s="76"/>
      <c r="I122" s="76"/>
      <c r="J122" s="76"/>
      <c r="K122" s="16"/>
      <c r="N122" s="76"/>
      <c r="O122" s="76"/>
      <c r="P122" s="76"/>
      <c r="Q122" s="76"/>
    </row>
    <row r="123" spans="1:17">
      <c r="A123" s="76"/>
      <c r="D123" s="135"/>
      <c r="E123" s="135"/>
      <c r="F123" s="76"/>
      <c r="G123" s="76"/>
      <c r="H123" s="76"/>
      <c r="I123" s="76"/>
      <c r="J123" s="76"/>
      <c r="K123" s="16"/>
      <c r="N123" s="76"/>
      <c r="O123" s="76"/>
      <c r="P123" s="76"/>
      <c r="Q123" s="76"/>
    </row>
    <row r="124" spans="1:17">
      <c r="A124" s="76"/>
      <c r="D124" s="135"/>
      <c r="E124" s="135"/>
      <c r="F124" s="76"/>
      <c r="G124" s="76"/>
      <c r="H124" s="76"/>
      <c r="I124" s="76"/>
      <c r="J124" s="76"/>
      <c r="K124" s="16"/>
      <c r="N124" s="76"/>
      <c r="O124" s="76"/>
      <c r="P124" s="76"/>
      <c r="Q124" s="76"/>
    </row>
    <row r="125" spans="1:17">
      <c r="A125" s="76"/>
      <c r="D125" s="135"/>
      <c r="E125" s="135"/>
      <c r="F125" s="76"/>
      <c r="G125" s="76"/>
      <c r="H125" s="76"/>
      <c r="I125" s="76"/>
      <c r="J125" s="76"/>
      <c r="K125" s="16"/>
      <c r="N125" s="76"/>
      <c r="O125" s="76"/>
      <c r="P125" s="76"/>
      <c r="Q125" s="76"/>
    </row>
    <row r="126" spans="1:17">
      <c r="A126" s="76"/>
      <c r="D126" s="135"/>
      <c r="E126" s="135"/>
      <c r="F126" s="76"/>
      <c r="G126" s="76"/>
      <c r="H126" s="76"/>
      <c r="I126" s="76"/>
      <c r="J126" s="76"/>
      <c r="K126" s="16"/>
      <c r="N126" s="76"/>
      <c r="O126" s="76"/>
      <c r="P126" s="76"/>
      <c r="Q126" s="76"/>
    </row>
    <row r="127" spans="1:17">
      <c r="A127" s="76"/>
      <c r="D127" s="135" t="s">
        <v>176</v>
      </c>
      <c r="E127" s="135">
        <v>-140</v>
      </c>
      <c r="F127" s="76"/>
      <c r="G127" s="76"/>
      <c r="H127" s="76"/>
      <c r="I127" s="76"/>
      <c r="J127" s="76"/>
      <c r="K127" s="16"/>
      <c r="N127" s="76"/>
      <c r="O127" s="76"/>
      <c r="P127" s="76"/>
      <c r="Q127" s="76"/>
    </row>
    <row r="128" spans="1:17">
      <c r="A128" s="76"/>
      <c r="D128" s="135" t="s">
        <v>177</v>
      </c>
      <c r="E128" s="135">
        <v>-403</v>
      </c>
      <c r="F128" s="76"/>
      <c r="G128" s="76"/>
      <c r="H128" s="76"/>
      <c r="I128" s="76"/>
      <c r="J128" s="76"/>
      <c r="K128" s="16"/>
      <c r="N128" s="76"/>
      <c r="O128" s="76"/>
      <c r="P128" s="76"/>
      <c r="Q128" s="76"/>
    </row>
    <row r="129" spans="1:17">
      <c r="A129" s="76"/>
      <c r="D129" s="135" t="s">
        <v>178</v>
      </c>
      <c r="E129" s="135">
        <v>-156</v>
      </c>
      <c r="F129" s="76"/>
      <c r="G129" s="76"/>
      <c r="H129" s="76"/>
      <c r="I129" s="76"/>
      <c r="J129" s="76"/>
      <c r="K129" s="16"/>
      <c r="N129" s="76"/>
      <c r="O129" s="76"/>
      <c r="P129" s="76"/>
      <c r="Q129" s="76"/>
    </row>
    <row r="130" spans="1:17">
      <c r="A130" s="76"/>
      <c r="D130" s="135" t="s">
        <v>179</v>
      </c>
      <c r="E130" s="135">
        <v>-200</v>
      </c>
      <c r="F130" s="76"/>
      <c r="G130" s="76"/>
      <c r="H130" s="76"/>
      <c r="I130" s="76"/>
      <c r="J130" s="76"/>
      <c r="K130" s="16"/>
      <c r="N130" s="76"/>
      <c r="O130" s="76"/>
      <c r="P130" s="76"/>
      <c r="Q130" s="76"/>
    </row>
    <row r="131" spans="1:17">
      <c r="A131" s="76"/>
      <c r="D131" s="135"/>
      <c r="E131" s="135"/>
      <c r="F131" s="76"/>
      <c r="G131" s="76"/>
      <c r="H131" s="76"/>
      <c r="I131" s="76"/>
      <c r="J131" s="76"/>
      <c r="K131" s="16"/>
      <c r="N131" s="76"/>
      <c r="O131" s="76"/>
      <c r="P131" s="76"/>
      <c r="Q131" s="76"/>
    </row>
    <row r="132" spans="1:17">
      <c r="A132" s="76"/>
      <c r="D132" s="135"/>
      <c r="E132" s="135">
        <f>SUM(E124:F131)</f>
        <v>-899</v>
      </c>
      <c r="F132" s="76"/>
      <c r="G132" s="76"/>
      <c r="H132" s="76"/>
      <c r="I132" s="76"/>
      <c r="J132" s="76"/>
      <c r="K132" s="16"/>
      <c r="N132" s="76"/>
      <c r="O132" s="76"/>
      <c r="P132" s="76"/>
      <c r="Q132" s="76"/>
    </row>
    <row r="133" spans="1:17">
      <c r="A133" s="76"/>
      <c r="D133" s="135"/>
      <c r="E133" s="135"/>
      <c r="F133" s="76"/>
      <c r="G133" s="76"/>
      <c r="H133" s="76"/>
      <c r="I133" s="76"/>
      <c r="J133" s="76"/>
      <c r="K133" s="16"/>
      <c r="N133" s="76"/>
      <c r="O133" s="76"/>
      <c r="P133" s="76"/>
      <c r="Q133" s="76"/>
    </row>
    <row r="134" spans="1:17">
      <c r="B134" s="134"/>
      <c r="C134" s="134"/>
      <c r="D134" s="134"/>
      <c r="E134" s="134"/>
    </row>
    <row r="135" spans="1:17">
      <c r="B135" s="134"/>
      <c r="C135" s="134"/>
      <c r="D135" s="134"/>
      <c r="E135" s="134"/>
    </row>
    <row r="136" spans="1:17">
      <c r="B136" s="134"/>
      <c r="C136" s="134"/>
      <c r="D136" s="134"/>
      <c r="E136" s="134"/>
    </row>
    <row r="137" spans="1:17">
      <c r="E137" s="89"/>
    </row>
    <row r="144" spans="1:17" s="74" customFormat="1">
      <c r="A144" s="16"/>
      <c r="B144" s="89"/>
      <c r="C144" s="89"/>
      <c r="D144" s="89"/>
      <c r="E144" s="89"/>
      <c r="F144" s="16"/>
      <c r="G144" s="16"/>
      <c r="H144" s="16"/>
      <c r="I144" s="16"/>
      <c r="J144" s="132"/>
      <c r="K144" s="132"/>
      <c r="N144" s="95"/>
      <c r="O144" s="95"/>
      <c r="P144" s="95"/>
      <c r="Q144" s="95"/>
    </row>
    <row r="145" spans="1:17" s="74" customFormat="1">
      <c r="A145" s="16"/>
      <c r="B145" s="89"/>
      <c r="C145" s="89"/>
      <c r="D145" s="89"/>
      <c r="E145" s="89"/>
      <c r="F145" s="16"/>
      <c r="G145" s="16"/>
      <c r="H145" s="16"/>
      <c r="I145" s="16"/>
      <c r="J145" s="132"/>
      <c r="K145" s="132"/>
      <c r="N145" s="95"/>
      <c r="O145" s="95"/>
      <c r="P145" s="95"/>
      <c r="Q145" s="95"/>
    </row>
    <row r="146" spans="1:17" s="74" customFormat="1">
      <c r="A146" s="16"/>
      <c r="B146" s="89"/>
      <c r="C146" s="89"/>
      <c r="D146" s="89"/>
      <c r="E146" s="89"/>
      <c r="F146" s="16"/>
      <c r="G146" s="16"/>
      <c r="H146" s="16"/>
      <c r="I146" s="16"/>
      <c r="J146" s="132"/>
      <c r="K146" s="132"/>
      <c r="N146" s="95"/>
      <c r="O146" s="95"/>
      <c r="P146" s="95"/>
      <c r="Q146" s="95"/>
    </row>
    <row r="147" spans="1:17" s="74" customFormat="1">
      <c r="A147" s="16"/>
      <c r="B147" s="89"/>
      <c r="C147" s="89"/>
      <c r="D147" s="89"/>
      <c r="E147" s="89"/>
      <c r="F147" s="16"/>
      <c r="G147" s="16"/>
      <c r="H147" s="16"/>
      <c r="I147" s="16"/>
      <c r="J147" s="132"/>
      <c r="K147" s="132"/>
      <c r="N147" s="95"/>
      <c r="O147" s="95"/>
      <c r="P147" s="95"/>
      <c r="Q147" s="95"/>
    </row>
    <row r="148" spans="1:17" s="74" customFormat="1">
      <c r="A148" s="16"/>
      <c r="B148" s="89"/>
      <c r="C148" s="89"/>
      <c r="D148" s="89"/>
      <c r="E148" s="89"/>
      <c r="F148" s="16"/>
      <c r="G148" s="16"/>
      <c r="H148" s="16"/>
      <c r="I148" s="16"/>
      <c r="J148" s="132"/>
      <c r="K148" s="132"/>
      <c r="N148" s="95"/>
      <c r="O148" s="95"/>
      <c r="P148" s="95"/>
      <c r="Q148" s="95"/>
    </row>
    <row r="149" spans="1:17" s="74" customFormat="1">
      <c r="A149" s="16"/>
      <c r="B149" s="89"/>
      <c r="C149" s="89"/>
      <c r="D149" s="89"/>
      <c r="E149" s="89"/>
      <c r="F149" s="16"/>
      <c r="G149" s="16"/>
      <c r="H149" s="16"/>
      <c r="I149" s="16"/>
      <c r="J149" s="132"/>
      <c r="K149" s="132"/>
      <c r="N149" s="95"/>
      <c r="O149" s="95"/>
      <c r="P149" s="95"/>
      <c r="Q149" s="95"/>
    </row>
    <row r="150" spans="1:17" s="74" customFormat="1">
      <c r="A150" s="16"/>
      <c r="B150" s="89"/>
      <c r="C150" s="89"/>
      <c r="D150" s="89"/>
      <c r="E150" s="89"/>
      <c r="F150" s="16"/>
      <c r="G150" s="16"/>
      <c r="H150" s="16"/>
      <c r="I150" s="16"/>
      <c r="J150" s="132"/>
      <c r="K150" s="132"/>
      <c r="N150" s="95"/>
      <c r="O150" s="95"/>
      <c r="P150" s="95"/>
      <c r="Q150" s="95"/>
    </row>
    <row r="151" spans="1:17" s="74" customFormat="1">
      <c r="A151" s="16"/>
      <c r="B151" s="89"/>
      <c r="C151" s="89"/>
      <c r="D151" s="89"/>
      <c r="E151" s="89"/>
      <c r="F151" s="16"/>
      <c r="G151" s="16"/>
      <c r="H151" s="16"/>
      <c r="I151" s="16"/>
      <c r="J151" s="132"/>
      <c r="K151" s="132"/>
      <c r="N151" s="95"/>
      <c r="O151" s="95"/>
      <c r="P151" s="95"/>
      <c r="Q151" s="95"/>
    </row>
    <row r="152" spans="1:17" s="74" customFormat="1">
      <c r="A152" s="16"/>
      <c r="B152" s="89"/>
      <c r="C152" s="89"/>
      <c r="D152" s="89"/>
      <c r="E152" s="89"/>
      <c r="F152" s="16"/>
      <c r="G152" s="16"/>
      <c r="H152" s="16"/>
      <c r="I152" s="16"/>
      <c r="J152" s="132"/>
      <c r="K152" s="132"/>
      <c r="N152" s="95"/>
      <c r="O152" s="95"/>
      <c r="P152" s="95"/>
      <c r="Q152" s="95"/>
    </row>
    <row r="153" spans="1:17" s="74" customFormat="1">
      <c r="A153" s="16"/>
      <c r="B153" s="89"/>
      <c r="C153" s="89"/>
      <c r="D153" s="89"/>
      <c r="E153" s="89"/>
      <c r="F153" s="16"/>
      <c r="G153" s="16"/>
      <c r="H153" s="16"/>
      <c r="I153" s="16"/>
      <c r="J153" s="132"/>
      <c r="K153" s="132"/>
      <c r="N153" s="95"/>
      <c r="O153" s="95"/>
      <c r="P153" s="95"/>
      <c r="Q153" s="95"/>
    </row>
    <row r="154" spans="1:17" s="74" customFormat="1">
      <c r="A154" s="16"/>
      <c r="B154" s="89"/>
      <c r="C154" s="89"/>
      <c r="D154" s="89"/>
      <c r="E154" s="89"/>
      <c r="F154" s="16"/>
      <c r="G154" s="16"/>
      <c r="H154" s="16"/>
      <c r="I154" s="16"/>
      <c r="J154" s="132"/>
      <c r="K154" s="132"/>
      <c r="N154" s="95"/>
      <c r="O154" s="95"/>
      <c r="P154" s="95"/>
      <c r="Q154" s="95"/>
    </row>
    <row r="155" spans="1:17" s="74" customFormat="1">
      <c r="A155" s="16"/>
      <c r="B155" s="89"/>
      <c r="C155" s="89"/>
      <c r="D155" s="89"/>
      <c r="E155" s="89"/>
      <c r="F155" s="16"/>
      <c r="G155" s="16"/>
      <c r="H155" s="16"/>
      <c r="I155" s="16"/>
      <c r="J155" s="132"/>
      <c r="K155" s="132"/>
      <c r="N155" s="95"/>
      <c r="O155" s="95"/>
      <c r="P155" s="95"/>
      <c r="Q155" s="95"/>
    </row>
    <row r="156" spans="1:17" s="74" customFormat="1">
      <c r="A156" s="16"/>
      <c r="B156" s="89"/>
      <c r="C156" s="89"/>
      <c r="D156" s="89"/>
      <c r="E156" s="89"/>
      <c r="F156" s="16"/>
      <c r="G156" s="16"/>
      <c r="H156" s="16"/>
      <c r="I156" s="16"/>
      <c r="J156" s="132"/>
      <c r="K156" s="132"/>
      <c r="N156" s="95"/>
      <c r="O156" s="95"/>
      <c r="P156" s="95"/>
      <c r="Q156" s="95"/>
    </row>
    <row r="157" spans="1:17" s="74" customFormat="1">
      <c r="A157" s="16"/>
      <c r="B157" s="89"/>
      <c r="C157" s="89"/>
      <c r="D157" s="89"/>
      <c r="E157" s="89"/>
      <c r="F157" s="16"/>
      <c r="G157" s="16"/>
      <c r="H157" s="16"/>
      <c r="I157" s="16"/>
      <c r="J157" s="132"/>
      <c r="K157" s="132"/>
      <c r="N157" s="95"/>
      <c r="O157" s="95"/>
      <c r="P157" s="95"/>
      <c r="Q157" s="95"/>
    </row>
    <row r="158" spans="1:17" s="74" customFormat="1">
      <c r="A158" s="16"/>
      <c r="B158" s="89"/>
      <c r="C158" s="89"/>
      <c r="D158" s="89"/>
      <c r="E158" s="89"/>
      <c r="F158" s="16"/>
      <c r="G158" s="16"/>
      <c r="H158" s="16"/>
      <c r="I158" s="16"/>
      <c r="J158" s="132"/>
      <c r="K158" s="132"/>
      <c r="N158" s="95"/>
      <c r="O158" s="95"/>
      <c r="P158" s="95"/>
      <c r="Q158" s="95"/>
    </row>
    <row r="159" spans="1:17" s="74" customFormat="1">
      <c r="A159" s="16"/>
      <c r="B159" s="89"/>
      <c r="C159" s="89"/>
      <c r="D159" s="89"/>
      <c r="E159" s="89"/>
      <c r="F159" s="16"/>
      <c r="G159" s="16"/>
      <c r="H159" s="16"/>
      <c r="I159" s="16"/>
      <c r="J159" s="132"/>
      <c r="K159" s="132"/>
      <c r="N159" s="95"/>
      <c r="O159" s="95"/>
      <c r="P159" s="95"/>
      <c r="Q159" s="95"/>
    </row>
  </sheetData>
  <autoFilter ref="A1:Q83" xr:uid="{00000000-0001-0000-0000-000000000000}"/>
  <conditionalFormatting sqref="F92:J101">
    <cfRule type="duplicateValues" dxfId="34" priority="286"/>
  </conditionalFormatting>
  <conditionalFormatting sqref="J2:J82">
    <cfRule type="cellIs" dxfId="33" priority="2" operator="equal">
      <formula>0</formula>
    </cfRule>
  </conditionalFormatting>
  <conditionalFormatting sqref="L2:L83">
    <cfRule type="cellIs" dxfId="32" priority="3" operator="lessThan">
      <formula>0</formula>
    </cfRule>
  </conditionalFormatting>
  <conditionalFormatting sqref="M1:M82">
    <cfRule type="containsText" dxfId="31" priority="1" operator="containsText" text=".">
      <formula>NOT(ISERROR(SEARCH(".",M1)))</formula>
    </cfRule>
  </conditionalFormatting>
  <conditionalFormatting sqref="M84:M1048576">
    <cfRule type="containsText" dxfId="30" priority="300" operator="containsText" text=".">
      <formula>NOT(ISERROR(SEARCH(".",M84)))</formula>
    </cfRule>
  </conditionalFormatting>
  <hyperlinks>
    <hyperlink ref="Q3" r:id="rId1" tooltip="https://app.s2sell.com/product/4507" xr:uid="{00000000-0004-0000-0000-000000000000}"/>
  </hyperlinks>
  <pageMargins left="0.75" right="0.75" top="1" bottom="1" header="0.5" footer="0.5"/>
  <pageSetup paperSize="9"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T50"/>
  <sheetViews>
    <sheetView topLeftCell="B1" workbookViewId="0">
      <pane ySplit="1" topLeftCell="A2" activePane="bottomLeft" state="frozen"/>
      <selection pane="bottomLeft" activeCell="B4" sqref="A4:XFD6"/>
    </sheetView>
  </sheetViews>
  <sheetFormatPr defaultColWidth="9.1796875" defaultRowHeight="12.5"/>
  <cols>
    <col min="1" max="1" width="19.7265625" style="54" hidden="1" customWidth="1"/>
    <col min="2" max="2" width="14.453125" style="54" customWidth="1"/>
    <col min="3" max="3" width="16" style="54" customWidth="1"/>
    <col min="4" max="4" width="12" style="54" customWidth="1"/>
    <col min="5" max="5" width="9.453125" style="54" customWidth="1"/>
    <col min="6" max="6" width="9.7265625" style="54" customWidth="1"/>
    <col min="7" max="7" width="20.26953125" style="54" customWidth="1"/>
    <col min="8" max="8" width="12.453125" style="54" customWidth="1"/>
    <col min="9" max="9" width="13.1796875" style="55" customWidth="1"/>
    <col min="10" max="10" width="16.453125" style="54" hidden="1" customWidth="1"/>
    <col min="11" max="11" width="15.453125" style="54" customWidth="1"/>
    <col min="12" max="12" width="12.81640625" style="54" hidden="1" customWidth="1"/>
    <col min="13" max="13" width="13.7265625" style="55" hidden="1" customWidth="1"/>
    <col min="14" max="14" width="16.54296875" style="55" hidden="1" customWidth="1"/>
    <col min="15" max="15" width="14" style="55" hidden="1" customWidth="1"/>
    <col min="16" max="16" width="13.7265625" style="54" customWidth="1"/>
    <col min="17" max="17" width="10.81640625" style="54" customWidth="1"/>
    <col min="18" max="18" width="14.7265625" style="54" customWidth="1"/>
    <col min="19" max="19" width="14" style="54" customWidth="1"/>
    <col min="20" max="20" width="11.1796875" style="56" customWidth="1"/>
    <col min="21" max="16384" width="9.1796875" style="54"/>
  </cols>
  <sheetData>
    <row r="1" spans="1:20" ht="26.5">
      <c r="A1" s="57" t="s">
        <v>0</v>
      </c>
      <c r="B1" s="58" t="s">
        <v>1</v>
      </c>
      <c r="C1" s="59" t="s">
        <v>3</v>
      </c>
      <c r="D1" s="59" t="s">
        <v>4</v>
      </c>
      <c r="E1" s="59" t="s">
        <v>5</v>
      </c>
      <c r="F1" s="59" t="s">
        <v>6</v>
      </c>
      <c r="G1" s="59" t="s">
        <v>180</v>
      </c>
      <c r="H1" s="59" t="s">
        <v>8</v>
      </c>
      <c r="I1" s="60" t="s">
        <v>9</v>
      </c>
      <c r="J1" s="61" t="s">
        <v>181</v>
      </c>
      <c r="K1" s="62" t="s">
        <v>182</v>
      </c>
      <c r="L1" s="59" t="s">
        <v>12</v>
      </c>
      <c r="M1" s="63" t="s">
        <v>13</v>
      </c>
      <c r="N1" s="63" t="s">
        <v>14</v>
      </c>
      <c r="O1" s="63" t="s">
        <v>15</v>
      </c>
      <c r="P1" s="59" t="s">
        <v>183</v>
      </c>
      <c r="Q1" s="64" t="s">
        <v>184</v>
      </c>
      <c r="R1" s="59" t="s">
        <v>185</v>
      </c>
      <c r="S1" s="65" t="s">
        <v>186</v>
      </c>
      <c r="T1" s="66" t="s">
        <v>187</v>
      </c>
    </row>
    <row r="2" spans="1:20" ht="16" customHeight="1">
      <c r="B2" s="54" t="str">
        <f>'1'!B2</f>
        <v>Speaker</v>
      </c>
      <c r="C2" s="54" t="str">
        <f>'1'!D2</f>
        <v>P12</v>
      </c>
      <c r="D2" s="54" t="str">
        <f>'1'!E2</f>
        <v>brown</v>
      </c>
      <c r="E2" s="54">
        <f>'1'!F2</f>
        <v>2</v>
      </c>
      <c r="F2" s="54">
        <f>'1'!G2</f>
        <v>11.56</v>
      </c>
      <c r="G2" s="54" t="str">
        <f>'1'!H2</f>
        <v>0.459*0.344*0.395M</v>
      </c>
      <c r="H2" s="54">
        <f>'1'!I2</f>
        <v>6.5584080000000003E-2</v>
      </c>
      <c r="I2" s="54">
        <f>'1'!J2</f>
        <v>33.9</v>
      </c>
      <c r="K2" s="54">
        <f>'1'!L2</f>
        <v>0</v>
      </c>
      <c r="L2" s="54">
        <f t="shared" ref="L2:L11" si="0">K2/E2</f>
        <v>0</v>
      </c>
      <c r="M2" s="55">
        <f t="shared" ref="M2:M11" si="1">L2*F2</f>
        <v>0</v>
      </c>
      <c r="N2" s="55">
        <f t="shared" ref="N2:N11" si="2">H2*L2</f>
        <v>0</v>
      </c>
      <c r="O2" s="55">
        <f t="shared" ref="O2:O11" si="3">K2*I2</f>
        <v>0</v>
      </c>
      <c r="P2" s="67">
        <v>8</v>
      </c>
      <c r="Q2" s="67">
        <v>6</v>
      </c>
      <c r="R2" s="54">
        <f>Q2*P2</f>
        <v>48</v>
      </c>
      <c r="S2" s="53">
        <v>0</v>
      </c>
    </row>
    <row r="3" spans="1:20" ht="16" customHeight="1">
      <c r="A3" s="54" t="s">
        <v>71</v>
      </c>
      <c r="B3" s="54" t="str">
        <f>'1'!B3</f>
        <v>Speaker</v>
      </c>
      <c r="C3" s="54" t="str">
        <f>'1'!D3</f>
        <v>D12</v>
      </c>
      <c r="D3" s="54" t="str">
        <f>'1'!E3</f>
        <v>brown</v>
      </c>
      <c r="E3" s="54">
        <f>'1'!F3</f>
        <v>2</v>
      </c>
      <c r="F3" s="54">
        <f>'1'!G3</f>
        <v>12.02</v>
      </c>
      <c r="G3" s="54" t="str">
        <f>'1'!H3</f>
        <v>0.443*0.337*0.393M</v>
      </c>
      <c r="H3" s="54">
        <f>'1'!I3</f>
        <v>6.1746049999999997E-2</v>
      </c>
      <c r="I3" s="54">
        <f>'1'!J3</f>
        <v>48.4</v>
      </c>
      <c r="K3" s="54">
        <f>'1'!L3</f>
        <v>0</v>
      </c>
      <c r="L3" s="54">
        <f t="shared" si="0"/>
        <v>0</v>
      </c>
      <c r="M3" s="55">
        <f t="shared" si="1"/>
        <v>0</v>
      </c>
      <c r="N3" s="55">
        <f t="shared" si="2"/>
        <v>0</v>
      </c>
      <c r="O3" s="55">
        <f t="shared" si="3"/>
        <v>0</v>
      </c>
      <c r="P3" s="67">
        <v>8</v>
      </c>
      <c r="Q3" s="67">
        <v>6</v>
      </c>
      <c r="R3" s="54">
        <f>Q3*P3</f>
        <v>48</v>
      </c>
      <c r="S3" s="53">
        <f>L3/R3</f>
        <v>0</v>
      </c>
      <c r="T3" s="68" t="s">
        <v>188</v>
      </c>
    </row>
    <row r="4" spans="1:20" ht="16" customHeight="1">
      <c r="A4" s="54" t="s">
        <v>16</v>
      </c>
      <c r="B4" s="54" t="str">
        <f>'1'!B4</f>
        <v>Speaker</v>
      </c>
      <c r="C4" s="54" t="str">
        <f>'1'!D4</f>
        <v>MR4</v>
      </c>
      <c r="D4" s="54" t="str">
        <f>'1'!E4</f>
        <v>black</v>
      </c>
      <c r="E4" s="54">
        <f>'1'!F4</f>
        <v>2</v>
      </c>
      <c r="F4" s="54">
        <f>'1'!G4</f>
        <v>12.22</v>
      </c>
      <c r="G4" s="54" t="str">
        <f>'1'!H4</f>
        <v>0.461*0.345*0.388M</v>
      </c>
      <c r="H4" s="54">
        <f>'1'!I4</f>
        <v>6.4913799999999994E-2</v>
      </c>
      <c r="I4" s="54">
        <f>'1'!J4</f>
        <v>45</v>
      </c>
      <c r="K4" s="54">
        <f>'1'!L4</f>
        <v>0</v>
      </c>
      <c r="L4" s="54">
        <f t="shared" si="0"/>
        <v>0</v>
      </c>
      <c r="M4" s="55">
        <f t="shared" si="1"/>
        <v>0</v>
      </c>
      <c r="N4" s="55">
        <f t="shared" si="2"/>
        <v>0</v>
      </c>
      <c r="O4" s="55">
        <f t="shared" si="3"/>
        <v>0</v>
      </c>
      <c r="P4" s="54">
        <v>8</v>
      </c>
      <c r="Q4" s="54">
        <v>4</v>
      </c>
      <c r="R4" s="54">
        <f>Q4*P4</f>
        <v>32</v>
      </c>
      <c r="S4" s="53">
        <f>L4/R4</f>
        <v>0</v>
      </c>
    </row>
    <row r="5" spans="1:20" ht="16" customHeight="1">
      <c r="B5" s="54" t="str">
        <f>'1'!B5</f>
        <v>Speaker</v>
      </c>
      <c r="C5" s="54" t="str">
        <f>'1'!D5</f>
        <v>MR4</v>
      </c>
      <c r="D5" s="54" t="str">
        <f>'1'!E5</f>
        <v>white</v>
      </c>
      <c r="E5" s="54">
        <f>'1'!F5</f>
        <v>2</v>
      </c>
      <c r="F5" s="54">
        <f>'1'!G5</f>
        <v>12.22</v>
      </c>
      <c r="G5" s="54" t="str">
        <f>'1'!H5</f>
        <v>0.461*0.345*0.388M</v>
      </c>
      <c r="H5" s="54">
        <f>'1'!I5</f>
        <v>6.4913799999999994E-2</v>
      </c>
      <c r="I5" s="54">
        <f>'1'!J5</f>
        <v>45</v>
      </c>
      <c r="K5" s="54">
        <f>'1'!L5</f>
        <v>0</v>
      </c>
      <c r="L5" s="54">
        <f t="shared" si="0"/>
        <v>0</v>
      </c>
      <c r="M5" s="55">
        <f t="shared" si="1"/>
        <v>0</v>
      </c>
      <c r="N5" s="55">
        <f t="shared" si="2"/>
        <v>0</v>
      </c>
      <c r="O5" s="55">
        <f t="shared" si="3"/>
        <v>0</v>
      </c>
      <c r="P5" s="54">
        <v>8</v>
      </c>
      <c r="Q5" s="54">
        <v>4</v>
      </c>
      <c r="R5" s="54">
        <f>Q5*P5</f>
        <v>32</v>
      </c>
      <c r="S5" s="53">
        <f>L5/R5</f>
        <v>0</v>
      </c>
    </row>
    <row r="6" spans="1:20" ht="16" customHeight="1">
      <c r="B6" s="54" t="e">
        <f>'1'!#REF!</f>
        <v>#REF!</v>
      </c>
      <c r="C6" s="54" t="e">
        <f>'1'!#REF!</f>
        <v>#REF!</v>
      </c>
      <c r="D6" s="54" t="e">
        <f>'1'!#REF!</f>
        <v>#REF!</v>
      </c>
      <c r="E6" s="54" t="e">
        <f>'1'!#REF!</f>
        <v>#REF!</v>
      </c>
      <c r="F6" s="54" t="e">
        <f>'1'!#REF!</f>
        <v>#REF!</v>
      </c>
      <c r="G6" s="54" t="e">
        <f>'1'!#REF!</f>
        <v>#REF!</v>
      </c>
      <c r="H6" s="54" t="e">
        <f>'1'!#REF!</f>
        <v>#REF!</v>
      </c>
      <c r="I6" s="54" t="e">
        <f>'1'!#REF!</f>
        <v>#REF!</v>
      </c>
      <c r="K6" s="54" t="e">
        <f>'1'!#REF!</f>
        <v>#REF!</v>
      </c>
      <c r="L6" s="54" t="e">
        <f t="shared" si="0"/>
        <v>#REF!</v>
      </c>
      <c r="M6" s="55" t="e">
        <f t="shared" si="1"/>
        <v>#REF!</v>
      </c>
      <c r="N6" s="55" t="e">
        <f t="shared" si="2"/>
        <v>#REF!</v>
      </c>
      <c r="O6" s="55" t="e">
        <f t="shared" si="3"/>
        <v>#REF!</v>
      </c>
      <c r="P6" s="54">
        <v>24</v>
      </c>
      <c r="Q6" s="54">
        <v>13</v>
      </c>
      <c r="R6" s="54">
        <f t="shared" ref="R6:R11" si="4">Q6*P6</f>
        <v>312</v>
      </c>
      <c r="S6" s="53" t="e">
        <f t="shared" ref="S6:S11" si="5">L6/R6</f>
        <v>#REF!</v>
      </c>
    </row>
    <row r="7" spans="1:20" ht="16" customHeight="1">
      <c r="B7" s="54" t="str">
        <f>'1'!B6</f>
        <v>Speaker</v>
      </c>
      <c r="C7" s="54" t="str">
        <f>'1'!D6</f>
        <v>R1280DB</v>
      </c>
      <c r="D7" s="54" t="str">
        <f>'1'!E6</f>
        <v>brown</v>
      </c>
      <c r="E7" s="54">
        <f>'1'!F6</f>
        <v>2</v>
      </c>
      <c r="F7" s="54">
        <f>'1'!G6</f>
        <v>12.35</v>
      </c>
      <c r="G7" s="54" t="str">
        <f>'1'!H6</f>
        <v>0.453*0.322*0.395M</v>
      </c>
      <c r="H7" s="54">
        <f>'1'!I6</f>
        <v>6.0655229999999997E-2</v>
      </c>
      <c r="I7" s="54">
        <f>'1'!J6</f>
        <v>54.9</v>
      </c>
      <c r="K7" s="54">
        <f>'1'!L6</f>
        <v>0</v>
      </c>
      <c r="L7" s="54">
        <f t="shared" si="0"/>
        <v>0</v>
      </c>
      <c r="M7" s="55">
        <f t="shared" si="1"/>
        <v>0</v>
      </c>
      <c r="N7" s="55">
        <f t="shared" si="2"/>
        <v>0</v>
      </c>
      <c r="O7" s="55">
        <f t="shared" si="3"/>
        <v>0</v>
      </c>
      <c r="P7" s="67">
        <v>8</v>
      </c>
      <c r="Q7" s="67">
        <v>6</v>
      </c>
      <c r="R7" s="54">
        <f t="shared" si="4"/>
        <v>48</v>
      </c>
      <c r="S7" s="53">
        <f t="shared" si="5"/>
        <v>0</v>
      </c>
    </row>
    <row r="8" spans="1:20" ht="16" customHeight="1">
      <c r="B8" s="54" t="str">
        <f>'1'!B7</f>
        <v>Speaker</v>
      </c>
      <c r="C8" s="54" t="str">
        <f>'1'!D7</f>
        <v>R1280DB</v>
      </c>
      <c r="D8" s="54" t="str">
        <f>'1'!E7</f>
        <v>black</v>
      </c>
      <c r="E8" s="54">
        <f>'1'!F7</f>
        <v>2</v>
      </c>
      <c r="F8" s="54">
        <f>'1'!G7</f>
        <v>12.35</v>
      </c>
      <c r="G8" s="54" t="str">
        <f>'1'!H7</f>
        <v>0.453*0.322*0.395M</v>
      </c>
      <c r="H8" s="54">
        <f>'1'!I7</f>
        <v>6.0655229999999997E-2</v>
      </c>
      <c r="I8" s="54">
        <f>'1'!J7</f>
        <v>54.9</v>
      </c>
      <c r="K8" s="54">
        <f>'1'!L7</f>
        <v>0</v>
      </c>
      <c r="L8" s="54">
        <f t="shared" si="0"/>
        <v>0</v>
      </c>
      <c r="M8" s="55">
        <f t="shared" si="1"/>
        <v>0</v>
      </c>
      <c r="N8" s="55">
        <f t="shared" si="2"/>
        <v>0</v>
      </c>
      <c r="O8" s="55">
        <f t="shared" si="3"/>
        <v>0</v>
      </c>
      <c r="P8" s="67">
        <v>8</v>
      </c>
      <c r="Q8" s="67">
        <v>6</v>
      </c>
      <c r="R8" s="54">
        <f t="shared" si="4"/>
        <v>48</v>
      </c>
      <c r="S8" s="53">
        <f t="shared" si="5"/>
        <v>0</v>
      </c>
    </row>
    <row r="9" spans="1:20" ht="16" customHeight="1">
      <c r="B9" s="54" t="str">
        <f>'1'!B9</f>
        <v>Speaker</v>
      </c>
      <c r="C9" s="54" t="str">
        <f>'1'!D9</f>
        <v>R1280DBs</v>
      </c>
      <c r="D9" s="54" t="str">
        <f>'1'!E9</f>
        <v>brown</v>
      </c>
      <c r="E9" s="54">
        <f>'1'!F9</f>
        <v>2</v>
      </c>
      <c r="F9" s="54">
        <f>'1'!G9</f>
        <v>12.35</v>
      </c>
      <c r="G9" s="54" t="str">
        <f>'1'!H9</f>
        <v>0.453*0.322*0.395M</v>
      </c>
      <c r="H9" s="54">
        <f>'1'!I9</f>
        <v>6.0655229999999997E-2</v>
      </c>
      <c r="I9" s="54">
        <f>'1'!J9</f>
        <v>56.9</v>
      </c>
      <c r="K9" s="54">
        <f>'1'!L9</f>
        <v>0</v>
      </c>
      <c r="L9" s="54">
        <f t="shared" si="0"/>
        <v>0</v>
      </c>
      <c r="M9" s="55">
        <f t="shared" si="1"/>
        <v>0</v>
      </c>
      <c r="N9" s="55">
        <f t="shared" si="2"/>
        <v>0</v>
      </c>
      <c r="O9" s="55">
        <f t="shared" si="3"/>
        <v>0</v>
      </c>
      <c r="P9" s="67">
        <v>8</v>
      </c>
      <c r="Q9" s="67">
        <v>6</v>
      </c>
      <c r="R9" s="54">
        <f t="shared" si="4"/>
        <v>48</v>
      </c>
      <c r="S9" s="53">
        <f t="shared" si="5"/>
        <v>0</v>
      </c>
    </row>
    <row r="10" spans="1:20" ht="16" customHeight="1">
      <c r="B10" s="54" t="str">
        <f>'1'!B10</f>
        <v>Speaker</v>
      </c>
      <c r="C10" s="54" t="str">
        <f>'1'!D10</f>
        <v>R1280DBs</v>
      </c>
      <c r="D10" s="54" t="str">
        <f>'1'!E10</f>
        <v>black</v>
      </c>
      <c r="E10" s="54">
        <f>'1'!F10</f>
        <v>2</v>
      </c>
      <c r="F10" s="54">
        <f>'1'!G10</f>
        <v>12.35</v>
      </c>
      <c r="G10" s="54" t="str">
        <f>'1'!H10</f>
        <v>0.453*0.322*0.395M</v>
      </c>
      <c r="H10" s="54">
        <f>'1'!I10</f>
        <v>6.0655229999999997E-2</v>
      </c>
      <c r="I10" s="54">
        <f>'1'!J10</f>
        <v>56.9</v>
      </c>
      <c r="K10" s="54">
        <f>'1'!L10</f>
        <v>0</v>
      </c>
      <c r="L10" s="54">
        <f t="shared" si="0"/>
        <v>0</v>
      </c>
      <c r="M10" s="55">
        <f t="shared" si="1"/>
        <v>0</v>
      </c>
      <c r="N10" s="55">
        <f t="shared" si="2"/>
        <v>0</v>
      </c>
      <c r="O10" s="55">
        <f t="shared" si="3"/>
        <v>0</v>
      </c>
      <c r="P10" s="67">
        <v>8</v>
      </c>
      <c r="Q10" s="67">
        <v>6</v>
      </c>
      <c r="R10" s="54">
        <f t="shared" si="4"/>
        <v>48</v>
      </c>
      <c r="S10" s="53">
        <f t="shared" si="5"/>
        <v>0</v>
      </c>
    </row>
    <row r="11" spans="1:20" ht="16" customHeight="1">
      <c r="B11" s="54" t="str">
        <f>'1'!B14</f>
        <v>Speaker</v>
      </c>
      <c r="C11" s="54" t="str">
        <f>'1'!D14</f>
        <v>R1700BTs</v>
      </c>
      <c r="D11" s="54" t="str">
        <f>'1'!E14</f>
        <v>brown</v>
      </c>
      <c r="E11" s="54">
        <f>'1'!F14</f>
        <v>2</v>
      </c>
      <c r="F11" s="54">
        <f>'1'!G14</f>
        <v>16.95</v>
      </c>
      <c r="G11" s="54" t="str">
        <f>'1'!H14</f>
        <v>0.464*0.352*0.412M</v>
      </c>
      <c r="H11" s="54">
        <f>'1'!I14</f>
        <v>7.0656730000000001E-2</v>
      </c>
      <c r="I11" s="54">
        <f>'1'!J14</f>
        <v>67</v>
      </c>
      <c r="K11" s="54">
        <f>'1'!L14</f>
        <v>0</v>
      </c>
      <c r="L11" s="54">
        <f t="shared" si="0"/>
        <v>0</v>
      </c>
      <c r="M11" s="55">
        <f t="shared" si="1"/>
        <v>0</v>
      </c>
      <c r="N11" s="55">
        <f t="shared" si="2"/>
        <v>0</v>
      </c>
      <c r="O11" s="55">
        <f t="shared" si="3"/>
        <v>0</v>
      </c>
      <c r="P11" s="67">
        <v>7</v>
      </c>
      <c r="Q11" s="67">
        <v>5</v>
      </c>
      <c r="R11" s="54">
        <f t="shared" si="4"/>
        <v>35</v>
      </c>
      <c r="S11" s="53">
        <f t="shared" si="5"/>
        <v>0</v>
      </c>
    </row>
    <row r="12" spans="1:20" ht="16" customHeight="1">
      <c r="B12" s="54" t="str">
        <f>'1'!B16</f>
        <v>Speaker</v>
      </c>
      <c r="C12" s="54" t="str">
        <f>'1'!D16</f>
        <v>R1280Ts</v>
      </c>
      <c r="D12" s="54" t="str">
        <f>'1'!E16</f>
        <v>brown</v>
      </c>
      <c r="E12" s="54">
        <f>'1'!F16</f>
        <v>2</v>
      </c>
      <c r="F12" s="54">
        <f>'1'!G16</f>
        <v>12.31</v>
      </c>
      <c r="G12" s="54" t="str">
        <f>'1'!H16</f>
        <v>0.453*0.322*0.395M</v>
      </c>
      <c r="H12" s="54">
        <f>'1'!I16</f>
        <v>6.0655229999999997E-2</v>
      </c>
      <c r="I12" s="54">
        <f>'1'!J16</f>
        <v>46.35</v>
      </c>
      <c r="K12" s="54">
        <f>'1'!L16</f>
        <v>0</v>
      </c>
      <c r="L12" s="54">
        <f t="shared" ref="L12:L21" si="6">K12/E12</f>
        <v>0</v>
      </c>
      <c r="M12" s="55">
        <f t="shared" ref="M12:M21" si="7">L12*F12</f>
        <v>0</v>
      </c>
      <c r="N12" s="55">
        <f t="shared" ref="N12:N21" si="8">H12*L12</f>
        <v>0</v>
      </c>
      <c r="O12" s="55">
        <f t="shared" ref="O12:O21" si="9">K12*I12</f>
        <v>0</v>
      </c>
      <c r="P12" s="67">
        <v>8</v>
      </c>
      <c r="Q12" s="67">
        <v>6</v>
      </c>
      <c r="R12" s="54">
        <f>Q12*P12</f>
        <v>48</v>
      </c>
      <c r="S12" s="53">
        <f>L12/R12</f>
        <v>0</v>
      </c>
    </row>
    <row r="13" spans="1:20" ht="16" customHeight="1">
      <c r="B13" s="54" t="str">
        <f>'1'!B11</f>
        <v>Speaker</v>
      </c>
      <c r="C13" s="54" t="str">
        <f>'1'!D11</f>
        <v>R1700BT</v>
      </c>
      <c r="D13" s="54" t="str">
        <f>'1'!E11</f>
        <v>brown</v>
      </c>
      <c r="E13" s="54">
        <f>'1'!F11</f>
        <v>2</v>
      </c>
      <c r="F13" s="54">
        <f>'1'!G11</f>
        <v>16.95</v>
      </c>
      <c r="G13" s="54" t="str">
        <f>'1'!H11</f>
        <v>0.462*0.352*0.412M</v>
      </c>
      <c r="H13" s="54">
        <f>'1'!I11</f>
        <v>7.0355420000000002E-2</v>
      </c>
      <c r="I13" s="54">
        <f>'1'!J11</f>
        <v>62.3</v>
      </c>
      <c r="K13" s="54">
        <f>'1'!L11</f>
        <v>0</v>
      </c>
      <c r="L13" s="54">
        <f t="shared" si="6"/>
        <v>0</v>
      </c>
      <c r="M13" s="55">
        <f t="shared" si="7"/>
        <v>0</v>
      </c>
      <c r="N13" s="55">
        <f t="shared" si="8"/>
        <v>0</v>
      </c>
      <c r="O13" s="55">
        <f t="shared" si="9"/>
        <v>0</v>
      </c>
      <c r="P13" s="67">
        <v>7</v>
      </c>
      <c r="Q13" s="67">
        <v>5</v>
      </c>
      <c r="R13" s="54">
        <f>Q13*P13</f>
        <v>35</v>
      </c>
      <c r="S13" s="53">
        <f>L13/R13</f>
        <v>0</v>
      </c>
    </row>
    <row r="14" spans="1:20" ht="16" customHeight="1">
      <c r="B14" s="54" t="str">
        <f>'1'!B17</f>
        <v>Speaker</v>
      </c>
      <c r="C14" s="54" t="str">
        <f>'1'!D17</f>
        <v>R1850DB</v>
      </c>
      <c r="D14" s="54" t="str">
        <f>'1'!E17</f>
        <v>black</v>
      </c>
      <c r="E14" s="54">
        <f>'1'!F17</f>
        <v>2</v>
      </c>
      <c r="F14" s="54">
        <f>'1'!G17</f>
        <v>17.21</v>
      </c>
      <c r="G14" s="54" t="str">
        <f>'1'!H17</f>
        <v>0.462*0.352*0.412M</v>
      </c>
      <c r="H14" s="54">
        <f>'1'!I17</f>
        <v>7.0355420000000002E-2</v>
      </c>
      <c r="I14" s="54">
        <f>'1'!J17</f>
        <v>82.9</v>
      </c>
      <c r="K14" s="54">
        <f>'1'!L17</f>
        <v>0</v>
      </c>
      <c r="L14" s="54">
        <f t="shared" si="6"/>
        <v>0</v>
      </c>
      <c r="M14" s="55">
        <f t="shared" si="7"/>
        <v>0</v>
      </c>
      <c r="N14" s="55">
        <f t="shared" si="8"/>
        <v>0</v>
      </c>
      <c r="O14" s="55">
        <f t="shared" si="9"/>
        <v>0</v>
      </c>
      <c r="P14" s="67">
        <v>7</v>
      </c>
      <c r="Q14" s="67">
        <v>5</v>
      </c>
      <c r="R14" s="54">
        <f>Q14*P14</f>
        <v>35</v>
      </c>
      <c r="S14" s="53">
        <f>L14/R14</f>
        <v>0</v>
      </c>
    </row>
    <row r="15" spans="1:20" s="51" customFormat="1" ht="16" customHeight="1">
      <c r="A15" s="69" t="s">
        <v>171</v>
      </c>
      <c r="B15" s="54" t="str">
        <f>'1'!B18</f>
        <v>Speaker</v>
      </c>
      <c r="C15" s="54" t="str">
        <f>'1'!D18</f>
        <v>R2000DB</v>
      </c>
      <c r="D15" s="54" t="str">
        <f>'1'!E18</f>
        <v>black</v>
      </c>
      <c r="E15" s="54">
        <f>'1'!F18</f>
        <v>1</v>
      </c>
      <c r="F15" s="54">
        <f>'1'!G18</f>
        <v>12.34</v>
      </c>
      <c r="G15" s="54" t="str">
        <f>'1'!H18</f>
        <v>0.477*0.322*0.393M</v>
      </c>
      <c r="H15" s="54">
        <f>'1'!I18</f>
        <v>6.3518439999999995E-2</v>
      </c>
      <c r="I15" s="54">
        <f>'1'!J18</f>
        <v>115.1</v>
      </c>
      <c r="J15" s="69"/>
      <c r="K15" s="54">
        <f>'1'!L18</f>
        <v>0</v>
      </c>
      <c r="L15" s="54">
        <f t="shared" si="6"/>
        <v>0</v>
      </c>
      <c r="M15" s="55">
        <f t="shared" si="7"/>
        <v>0</v>
      </c>
      <c r="N15" s="55">
        <f t="shared" si="8"/>
        <v>0</v>
      </c>
      <c r="O15" s="55">
        <f t="shared" si="9"/>
        <v>0</v>
      </c>
      <c r="P15" s="67">
        <v>4</v>
      </c>
      <c r="Q15" s="67">
        <v>6</v>
      </c>
      <c r="R15" s="54">
        <f>Q15*P15</f>
        <v>24</v>
      </c>
      <c r="S15" s="53"/>
      <c r="T15" s="70" t="s">
        <v>171</v>
      </c>
    </row>
    <row r="16" spans="1:20" ht="16" customHeight="1">
      <c r="B16" s="54" t="str">
        <f>'1'!B19</f>
        <v>Speaker</v>
      </c>
      <c r="C16" s="54" t="str">
        <f>'1'!D19</f>
        <v>R2000DB</v>
      </c>
      <c r="D16" s="54" t="str">
        <f>'1'!E19</f>
        <v>brown</v>
      </c>
      <c r="E16" s="54">
        <f>'1'!F19</f>
        <v>1</v>
      </c>
      <c r="F16" s="54">
        <f>'1'!G19</f>
        <v>12.34</v>
      </c>
      <c r="G16" s="54" t="str">
        <f>'1'!H19</f>
        <v>0.477*0.322*0.393M</v>
      </c>
      <c r="H16" s="54">
        <f>'1'!I19</f>
        <v>6.3518439999999995E-2</v>
      </c>
      <c r="I16" s="54">
        <f>'1'!J19</f>
        <v>93.6</v>
      </c>
      <c r="K16" s="54">
        <f>'1'!L19</f>
        <v>0</v>
      </c>
      <c r="L16" s="54">
        <f t="shared" si="6"/>
        <v>0</v>
      </c>
      <c r="M16" s="55">
        <f t="shared" si="7"/>
        <v>0</v>
      </c>
      <c r="N16" s="55">
        <f t="shared" si="8"/>
        <v>0</v>
      </c>
      <c r="O16" s="55">
        <f t="shared" si="9"/>
        <v>0</v>
      </c>
      <c r="P16" s="67">
        <v>4</v>
      </c>
      <c r="Q16" s="67">
        <v>6</v>
      </c>
      <c r="R16" s="54">
        <f t="shared" ref="R16:R21" si="10">Q16*P16</f>
        <v>24</v>
      </c>
      <c r="S16" s="53"/>
    </row>
    <row r="17" spans="1:20" ht="16" customHeight="1">
      <c r="B17" s="54" t="str">
        <f>'1'!B20</f>
        <v>Speaker</v>
      </c>
      <c r="C17" s="54" t="str">
        <f>'1'!D20</f>
        <v>R2850DB</v>
      </c>
      <c r="D17" s="54" t="str">
        <f>'1'!E20</f>
        <v>black</v>
      </c>
      <c r="E17" s="54">
        <f>'1'!F20</f>
        <v>1</v>
      </c>
      <c r="F17" s="54">
        <f>'1'!G20</f>
        <v>26.7</v>
      </c>
      <c r="G17" s="54" t="str">
        <f>'1'!H20</f>
        <v>0.679*0.434*0.581M</v>
      </c>
      <c r="H17" s="54">
        <f>'1'!I20</f>
        <v>0.177463116</v>
      </c>
      <c r="I17" s="54">
        <f>'1'!J20</f>
        <v>148.4</v>
      </c>
      <c r="K17" s="54">
        <f>'1'!L20</f>
        <v>0</v>
      </c>
      <c r="L17" s="54">
        <f t="shared" si="6"/>
        <v>0</v>
      </c>
      <c r="M17" s="55">
        <f t="shared" si="7"/>
        <v>0</v>
      </c>
      <c r="N17" s="55">
        <f t="shared" si="8"/>
        <v>0</v>
      </c>
      <c r="O17" s="55">
        <f t="shared" si="9"/>
        <v>0</v>
      </c>
      <c r="R17" s="54">
        <f t="shared" si="10"/>
        <v>0</v>
      </c>
      <c r="S17" s="53"/>
    </row>
    <row r="18" spans="1:20" ht="16" customHeight="1">
      <c r="B18" s="54" t="str">
        <f>'1'!B21</f>
        <v>Speaker</v>
      </c>
      <c r="C18" s="54" t="str">
        <f>'1'!D21</f>
        <v>R33BT</v>
      </c>
      <c r="D18" s="54" t="str">
        <f>'1'!E21</f>
        <v>black</v>
      </c>
      <c r="E18" s="54">
        <f>'1'!F21</f>
        <v>4</v>
      </c>
      <c r="F18" s="54">
        <f>'1'!G21</f>
        <v>15.9</v>
      </c>
      <c r="G18" s="54" t="str">
        <f>'1'!H21</f>
        <v>0.615*0.425*0.375M</v>
      </c>
      <c r="H18" s="54">
        <f>'1'!I21</f>
        <v>0.102641</v>
      </c>
      <c r="I18" s="54">
        <f>'1'!J21</f>
        <v>31.3</v>
      </c>
      <c r="K18" s="54">
        <f>'1'!L21</f>
        <v>0</v>
      </c>
      <c r="L18" s="54">
        <f t="shared" si="6"/>
        <v>0</v>
      </c>
      <c r="M18" s="55">
        <f t="shared" si="7"/>
        <v>0</v>
      </c>
      <c r="N18" s="55">
        <f t="shared" si="8"/>
        <v>0</v>
      </c>
      <c r="O18" s="55">
        <f t="shared" si="9"/>
        <v>0</v>
      </c>
      <c r="R18" s="54">
        <f t="shared" si="10"/>
        <v>0</v>
      </c>
      <c r="S18" s="53"/>
    </row>
    <row r="19" spans="1:20" ht="16" customHeight="1">
      <c r="B19" s="54" t="str">
        <f>'1'!B22</f>
        <v>Speaker</v>
      </c>
      <c r="C19" s="54" t="str">
        <f>'1'!D22</f>
        <v>R980T</v>
      </c>
      <c r="D19" s="54" t="str">
        <f>'1'!E22</f>
        <v>black</v>
      </c>
      <c r="E19" s="54">
        <f>'1'!F22</f>
        <v>2</v>
      </c>
      <c r="F19" s="54">
        <f>'1'!G22</f>
        <v>10.029999999999999</v>
      </c>
      <c r="G19" s="54" t="str">
        <f>'1'!H22</f>
        <v>0.459*0.329*0.395M</v>
      </c>
      <c r="H19" s="54">
        <f>'1'!I22</f>
        <v>6.2765280000000007E-2</v>
      </c>
      <c r="I19" s="54">
        <f>'1'!J22</f>
        <v>27</v>
      </c>
      <c r="J19" s="56"/>
      <c r="K19" s="54">
        <f>'1'!L22</f>
        <v>0</v>
      </c>
      <c r="L19" s="54">
        <f t="shared" si="6"/>
        <v>0</v>
      </c>
      <c r="M19" s="55">
        <f t="shared" si="7"/>
        <v>0</v>
      </c>
      <c r="N19" s="55">
        <f t="shared" si="8"/>
        <v>0</v>
      </c>
      <c r="O19" s="55">
        <f t="shared" si="9"/>
        <v>0</v>
      </c>
      <c r="P19" s="67">
        <v>4</v>
      </c>
      <c r="Q19" s="67">
        <v>6</v>
      </c>
      <c r="R19" s="54">
        <f t="shared" si="10"/>
        <v>24</v>
      </c>
      <c r="S19" s="53"/>
    </row>
    <row r="20" spans="1:20" ht="16" customHeight="1">
      <c r="B20" s="54" t="str">
        <f>'1'!B23</f>
        <v>Speaker</v>
      </c>
      <c r="C20" s="54" t="str">
        <f>'1'!D23</f>
        <v>S1000MKII</v>
      </c>
      <c r="D20" s="54" t="str">
        <f>'1'!E23</f>
        <v>brown</v>
      </c>
      <c r="E20" s="54">
        <f>'1'!F23</f>
        <v>1</v>
      </c>
      <c r="F20" s="54">
        <f>'1'!G23</f>
        <v>19</v>
      </c>
      <c r="G20" s="54" t="str">
        <f>'1'!H23</f>
        <v>0.520*0.365*0.433M</v>
      </c>
      <c r="H20" s="54">
        <f>'1'!I23</f>
        <v>8.6052749999999997E-2</v>
      </c>
      <c r="I20" s="54">
        <f>'1'!J23</f>
        <v>139.80000000000001</v>
      </c>
      <c r="K20" s="54">
        <f>'1'!L23</f>
        <v>0</v>
      </c>
      <c r="L20" s="54">
        <f t="shared" si="6"/>
        <v>0</v>
      </c>
      <c r="M20" s="55">
        <f t="shared" si="7"/>
        <v>0</v>
      </c>
      <c r="N20" s="55">
        <f t="shared" si="8"/>
        <v>0</v>
      </c>
      <c r="O20" s="55">
        <f t="shared" si="9"/>
        <v>0</v>
      </c>
      <c r="P20" s="67">
        <v>6</v>
      </c>
      <c r="Q20" s="67">
        <v>5</v>
      </c>
      <c r="R20" s="54">
        <f t="shared" si="10"/>
        <v>30</v>
      </c>
      <c r="S20" s="53"/>
    </row>
    <row r="21" spans="1:20" ht="16" customHeight="1">
      <c r="B21" s="54" t="str">
        <f>'1'!B24</f>
        <v>Speaker</v>
      </c>
      <c r="C21" s="54" t="str">
        <f>'1'!D24</f>
        <v>S2000MKⅢ</v>
      </c>
      <c r="D21" s="54" t="str">
        <f>'1'!E24</f>
        <v>brown</v>
      </c>
      <c r="E21" s="54">
        <f>'1'!F24</f>
        <v>1</v>
      </c>
      <c r="F21" s="54">
        <f>'1'!G24</f>
        <v>20.54</v>
      </c>
      <c r="G21" s="54" t="str">
        <f>'1'!H24</f>
        <v>0.549*0.378*0.448M</v>
      </c>
      <c r="H21" s="54">
        <f>'1'!I24</f>
        <v>9.7179360000000006E-2</v>
      </c>
      <c r="I21" s="54">
        <f>'1'!J24</f>
        <v>193.5</v>
      </c>
      <c r="K21" s="54">
        <f>'1'!L24</f>
        <v>0</v>
      </c>
      <c r="L21" s="54">
        <f t="shared" si="6"/>
        <v>0</v>
      </c>
      <c r="M21" s="55">
        <f t="shared" si="7"/>
        <v>0</v>
      </c>
      <c r="N21" s="55">
        <f t="shared" si="8"/>
        <v>0</v>
      </c>
      <c r="O21" s="55">
        <f t="shared" si="9"/>
        <v>0</v>
      </c>
      <c r="P21" s="67">
        <v>6</v>
      </c>
      <c r="Q21" s="67">
        <v>5</v>
      </c>
      <c r="R21" s="54">
        <f t="shared" si="10"/>
        <v>30</v>
      </c>
      <c r="S21" s="53"/>
    </row>
    <row r="22" spans="1:20" ht="16" customHeight="1">
      <c r="B22" s="54" t="str">
        <f>'1'!B26</f>
        <v>Speaker</v>
      </c>
      <c r="C22" s="54" t="str">
        <f>'1'!D26</f>
        <v>S350DB</v>
      </c>
      <c r="D22" s="54" t="str">
        <f>'1'!E26</f>
        <v>brown</v>
      </c>
      <c r="E22" s="54">
        <f>'1'!F26</f>
        <v>1</v>
      </c>
      <c r="F22" s="54">
        <f>'1'!G26</f>
        <v>19.73</v>
      </c>
      <c r="G22" s="54" t="str">
        <f>'1'!H26</f>
        <v>0.629*0.376*0.382M</v>
      </c>
      <c r="H22" s="54">
        <f>'1'!I26</f>
        <v>9.4689170000000003E-2</v>
      </c>
      <c r="I22" s="54">
        <f>'1'!J26</f>
        <v>149.5</v>
      </c>
      <c r="K22" s="54">
        <f>'1'!L26</f>
        <v>0</v>
      </c>
      <c r="L22" s="54">
        <f>K22/E22</f>
        <v>0</v>
      </c>
      <c r="M22" s="55">
        <f>L22*F22</f>
        <v>0</v>
      </c>
      <c r="N22" s="55">
        <f>H22*L22</f>
        <v>0</v>
      </c>
      <c r="O22" s="55">
        <f>K22*I22</f>
        <v>0</v>
      </c>
      <c r="P22" s="67">
        <v>5</v>
      </c>
      <c r="Q22" s="67">
        <v>6</v>
      </c>
      <c r="R22" s="54">
        <f>Q22*P22</f>
        <v>30</v>
      </c>
      <c r="S22" s="53"/>
    </row>
    <row r="23" spans="1:20" ht="16" customHeight="1">
      <c r="B23" s="54" t="str">
        <f>'1'!B27</f>
        <v>Speaker</v>
      </c>
      <c r="C23" s="54" t="str">
        <f>'1'!D27</f>
        <v>S351DB</v>
      </c>
      <c r="D23" s="54" t="str">
        <f>'1'!E27</f>
        <v>black</v>
      </c>
      <c r="E23" s="54">
        <f>'1'!F27</f>
        <v>1</v>
      </c>
      <c r="F23" s="54">
        <f>'1'!G27</f>
        <v>21.9</v>
      </c>
      <c r="G23" s="54" t="str">
        <f>'1'!H27</f>
        <v>0.629*0.376*0.382M</v>
      </c>
      <c r="H23" s="54">
        <f>'1'!I27</f>
        <v>9.4689170000000003E-2</v>
      </c>
      <c r="I23" s="54">
        <f>'1'!J27</f>
        <v>149.5</v>
      </c>
      <c r="K23" s="54">
        <f>'1'!L27</f>
        <v>0</v>
      </c>
      <c r="L23" s="54">
        <f>K23/E23</f>
        <v>0</v>
      </c>
      <c r="M23" s="55">
        <f>L23*F23</f>
        <v>0</v>
      </c>
      <c r="N23" s="55">
        <f>H23*L23</f>
        <v>0</v>
      </c>
      <c r="O23" s="55">
        <f>K23*I23</f>
        <v>0</v>
      </c>
      <c r="P23" s="67">
        <v>5</v>
      </c>
      <c r="Q23" s="67">
        <v>6</v>
      </c>
      <c r="R23" s="54">
        <f>Q23*P23</f>
        <v>30</v>
      </c>
      <c r="S23" s="53"/>
    </row>
    <row r="24" spans="1:20" ht="16" customHeight="1">
      <c r="B24" s="54" t="str">
        <f>'1'!B28</f>
        <v>Speaker</v>
      </c>
      <c r="C24" s="54" t="str">
        <f>'1'!D28</f>
        <v>S360DB</v>
      </c>
      <c r="D24" s="54" t="str">
        <f>'1'!E28</f>
        <v>brown</v>
      </c>
      <c r="E24" s="54">
        <f>'1'!F28</f>
        <v>1</v>
      </c>
      <c r="F24" s="54">
        <f>'1'!G28</f>
        <v>22.54</v>
      </c>
      <c r="G24" s="54" t="str">
        <f>'1'!H28</f>
        <v>0.670*0.428*0.415M</v>
      </c>
      <c r="H24" s="54">
        <f>'1'!I28</f>
        <v>0.124216875</v>
      </c>
      <c r="I24" s="54">
        <f>'1'!J28</f>
        <v>193.5</v>
      </c>
      <c r="K24" s="54">
        <f>'1'!L28</f>
        <v>0</v>
      </c>
      <c r="L24" s="54">
        <f>K24/E24</f>
        <v>0</v>
      </c>
      <c r="M24" s="55">
        <f>L24*F24</f>
        <v>0</v>
      </c>
      <c r="N24" s="55">
        <f>H24*L24</f>
        <v>0</v>
      </c>
      <c r="O24" s="55">
        <f>K24*I24</f>
        <v>0</v>
      </c>
      <c r="P24" s="67">
        <v>2</v>
      </c>
      <c r="Q24" s="67">
        <v>5</v>
      </c>
      <c r="R24" s="54">
        <f>Q24*P24</f>
        <v>10</v>
      </c>
      <c r="S24" s="53"/>
    </row>
    <row r="25" spans="1:20" ht="16" customHeight="1">
      <c r="B25" s="54" t="str">
        <f>'1'!B29</f>
        <v>Speaker</v>
      </c>
      <c r="C25" s="54" t="str">
        <f>'1'!D29</f>
        <v>S1000W</v>
      </c>
      <c r="D25" s="54" t="str">
        <f>'1'!E29</f>
        <v>brown</v>
      </c>
      <c r="E25" s="54">
        <f>'1'!F29</f>
        <v>1</v>
      </c>
      <c r="F25" s="54">
        <f>'1'!G29</f>
        <v>20.61</v>
      </c>
      <c r="G25" s="54" t="str">
        <f>'1'!H29</f>
        <v>0.549*0.378*0.448M</v>
      </c>
      <c r="H25" s="54">
        <f>'1'!I29</f>
        <v>9.7179360000000006E-2</v>
      </c>
      <c r="I25" s="54">
        <f>'1'!J29</f>
        <v>165</v>
      </c>
      <c r="J25" s="54">
        <v>165</v>
      </c>
      <c r="K25" s="54">
        <f>'1'!L29</f>
        <v>0</v>
      </c>
      <c r="S25" s="53"/>
    </row>
    <row r="26" spans="1:20" ht="16" customHeight="1">
      <c r="B26" s="54" t="str">
        <f>'1'!B51</f>
        <v>Stand</v>
      </c>
      <c r="C26" s="54" t="str">
        <f>'1'!D51</f>
        <v>SS02</v>
      </c>
      <c r="D26" s="54" t="str">
        <f>'1'!E51</f>
        <v>black</v>
      </c>
      <c r="E26" s="54">
        <f>'1'!F51</f>
        <v>1</v>
      </c>
      <c r="F26" s="54">
        <f>'1'!G51</f>
        <v>17.5</v>
      </c>
      <c r="G26" s="54" t="str">
        <f>'1'!H51</f>
        <v>0.725*0.485*0.287M</v>
      </c>
      <c r="H26" s="54">
        <f>'1'!I51</f>
        <v>0.1062369</v>
      </c>
      <c r="I26" s="54">
        <f>'1'!J51</f>
        <v>65</v>
      </c>
      <c r="K26" s="54">
        <f>'1'!L51</f>
        <v>0</v>
      </c>
      <c r="L26" s="54">
        <f>K26/E26</f>
        <v>0</v>
      </c>
      <c r="M26" s="55">
        <f>L26*F26</f>
        <v>0</v>
      </c>
      <c r="N26" s="55">
        <f>H26*L26</f>
        <v>0</v>
      </c>
      <c r="O26" s="55">
        <f>K26*I26</f>
        <v>0</v>
      </c>
      <c r="S26" s="53"/>
    </row>
    <row r="27" spans="1:20" ht="16" customHeight="1">
      <c r="B27" s="54" t="str">
        <f>'1'!B52</f>
        <v>Stand</v>
      </c>
      <c r="C27" s="54" t="str">
        <f>'1'!D52</f>
        <v>SS02C</v>
      </c>
      <c r="D27" s="54" t="str">
        <f>'1'!E52</f>
        <v>black</v>
      </c>
      <c r="E27" s="54">
        <f>'1'!F52</f>
        <v>1</v>
      </c>
      <c r="F27" s="54">
        <f>'1'!G52</f>
        <v>17.5</v>
      </c>
      <c r="G27" s="54" t="str">
        <f>'1'!H52</f>
        <v>0.725*0.485*0.287M</v>
      </c>
      <c r="H27" s="54">
        <f>'1'!I52</f>
        <v>0.1062369</v>
      </c>
      <c r="I27" s="54">
        <f>'1'!J52</f>
        <v>65</v>
      </c>
      <c r="K27" s="54">
        <f>'1'!L52</f>
        <v>0</v>
      </c>
      <c r="S27" s="53"/>
    </row>
    <row r="28" spans="1:20" ht="16" customHeight="1">
      <c r="B28" s="54" t="str">
        <f>'1'!B53</f>
        <v>Stand</v>
      </c>
      <c r="C28" s="54" t="str">
        <f>'1'!D53</f>
        <v>SS03</v>
      </c>
      <c r="D28" s="54" t="str">
        <f>'1'!E53</f>
        <v>brown</v>
      </c>
      <c r="E28" s="54">
        <f>'1'!F53</f>
        <v>1</v>
      </c>
      <c r="F28" s="54">
        <f>'1'!G53</f>
        <v>18.399999999999999</v>
      </c>
      <c r="G28" s="54" t="str">
        <f>'1'!H53</f>
        <v>0.694*0.487*0.305M</v>
      </c>
      <c r="H28" s="54">
        <f>'1'!I53</f>
        <v>0.10833102</v>
      </c>
      <c r="I28" s="54">
        <f>'1'!J53</f>
        <v>65</v>
      </c>
      <c r="K28" s="54">
        <f>'1'!L53</f>
        <v>0</v>
      </c>
      <c r="L28" s="54">
        <f>K28/E28</f>
        <v>0</v>
      </c>
      <c r="M28" s="55">
        <f>L28*F28</f>
        <v>0</v>
      </c>
      <c r="N28" s="55">
        <f>H28*L28</f>
        <v>0</v>
      </c>
      <c r="O28" s="55">
        <f>K28*I28</f>
        <v>0</v>
      </c>
      <c r="S28" s="53"/>
    </row>
    <row r="29" spans="1:20" customFormat="1" ht="16" customHeight="1">
      <c r="A29" s="54"/>
      <c r="B29" s="54" t="e">
        <f>'1'!#REF!</f>
        <v>#REF!</v>
      </c>
      <c r="C29" s="54" t="e">
        <f>'1'!#REF!</f>
        <v>#REF!</v>
      </c>
      <c r="D29" s="54" t="e">
        <f>'1'!#REF!</f>
        <v>#REF!</v>
      </c>
      <c r="E29" s="54" t="e">
        <f>'1'!#REF!</f>
        <v>#REF!</v>
      </c>
      <c r="F29" s="54" t="e">
        <f>'1'!#REF!</f>
        <v>#REF!</v>
      </c>
      <c r="G29" s="54" t="e">
        <f>'1'!#REF!</f>
        <v>#REF!</v>
      </c>
      <c r="H29" s="54" t="e">
        <f>'1'!#REF!</f>
        <v>#REF!</v>
      </c>
      <c r="I29" s="54" t="e">
        <f>'1'!#REF!</f>
        <v>#REF!</v>
      </c>
      <c r="K29" s="54" t="e">
        <f>'1'!#REF!</f>
        <v>#REF!</v>
      </c>
      <c r="L29" s="54"/>
      <c r="M29" s="55"/>
      <c r="N29" s="55"/>
      <c r="O29" s="55"/>
      <c r="P29" s="54"/>
      <c r="Q29" s="54"/>
      <c r="S29" s="53"/>
      <c r="T29" s="54"/>
    </row>
    <row r="30" spans="1:20" s="52" customFormat="1" ht="16" customHeight="1">
      <c r="A30" s="54"/>
      <c r="B30" s="54" t="e">
        <f>'1'!#REF!</f>
        <v>#REF!</v>
      </c>
      <c r="C30" s="54" t="e">
        <f>'1'!#REF!</f>
        <v>#REF!</v>
      </c>
      <c r="D30" s="54" t="e">
        <f>'1'!#REF!</f>
        <v>#REF!</v>
      </c>
      <c r="E30" s="54" t="e">
        <f>'1'!#REF!</f>
        <v>#REF!</v>
      </c>
      <c r="F30" s="54" t="e">
        <f>'1'!#REF!</f>
        <v>#REF!</v>
      </c>
      <c r="G30" s="54" t="e">
        <f>'1'!#REF!</f>
        <v>#REF!</v>
      </c>
      <c r="H30" s="54" t="e">
        <f>'1'!#REF!</f>
        <v>#REF!</v>
      </c>
      <c r="I30" s="54" t="e">
        <f>'1'!#REF!</f>
        <v>#REF!</v>
      </c>
      <c r="K30" s="54" t="e">
        <f>'1'!#REF!</f>
        <v>#REF!</v>
      </c>
      <c r="L30" s="54"/>
      <c r="M30" s="55"/>
      <c r="N30" s="55"/>
      <c r="O30" s="55"/>
      <c r="P30" s="54"/>
      <c r="Q30" s="54"/>
      <c r="S30" s="53"/>
      <c r="T30" s="54"/>
    </row>
    <row r="31" spans="1:20" customFormat="1" ht="16" customHeight="1">
      <c r="A31" s="54"/>
      <c r="B31" s="54" t="e">
        <f>'1'!#REF!</f>
        <v>#REF!</v>
      </c>
      <c r="C31" s="54" t="e">
        <f>'1'!#REF!</f>
        <v>#REF!</v>
      </c>
      <c r="D31" s="54" t="e">
        <f>'1'!#REF!</f>
        <v>#REF!</v>
      </c>
      <c r="E31" s="54" t="e">
        <f>'1'!#REF!</f>
        <v>#REF!</v>
      </c>
      <c r="F31" s="54" t="e">
        <f>'1'!#REF!</f>
        <v>#REF!</v>
      </c>
      <c r="G31" s="54" t="e">
        <f>'1'!#REF!</f>
        <v>#REF!</v>
      </c>
      <c r="H31" s="54" t="e">
        <f>'1'!#REF!</f>
        <v>#REF!</v>
      </c>
      <c r="I31" s="54" t="e">
        <f>'1'!#REF!</f>
        <v>#REF!</v>
      </c>
      <c r="K31" s="54" t="e">
        <f>'1'!#REF!</f>
        <v>#REF!</v>
      </c>
      <c r="L31" s="54" t="e">
        <f>K31/E31</f>
        <v>#REF!</v>
      </c>
      <c r="M31" s="55" t="e">
        <f>L31*F31</f>
        <v>#REF!</v>
      </c>
      <c r="N31" s="55" t="e">
        <f>H31*L31</f>
        <v>#REF!</v>
      </c>
      <c r="O31" s="55" t="e">
        <f>K31*I31</f>
        <v>#REF!</v>
      </c>
      <c r="P31" s="54"/>
      <c r="Q31" s="54"/>
      <c r="S31" s="53"/>
      <c r="T31" s="54"/>
    </row>
    <row r="32" spans="1:20" ht="16" customHeight="1">
      <c r="B32" s="54" t="e">
        <f>'1'!#REF!</f>
        <v>#REF!</v>
      </c>
      <c r="C32" s="54" t="e">
        <f>'1'!#REF!</f>
        <v>#REF!</v>
      </c>
      <c r="D32" s="54" t="e">
        <f>'1'!#REF!</f>
        <v>#REF!</v>
      </c>
      <c r="E32" s="54" t="e">
        <f>'1'!#REF!</f>
        <v>#REF!</v>
      </c>
      <c r="F32" s="54" t="e">
        <f>'1'!#REF!</f>
        <v>#REF!</v>
      </c>
      <c r="G32" s="54" t="e">
        <f>'1'!#REF!</f>
        <v>#REF!</v>
      </c>
      <c r="H32" s="54" t="e">
        <f>'1'!#REF!</f>
        <v>#REF!</v>
      </c>
      <c r="I32" s="54" t="e">
        <f>'1'!#REF!</f>
        <v>#REF!</v>
      </c>
      <c r="K32" s="54" t="e">
        <f>'1'!#REF!</f>
        <v>#REF!</v>
      </c>
      <c r="L32" s="54" t="e">
        <f>K32/E32</f>
        <v>#REF!</v>
      </c>
      <c r="M32" s="55" t="e">
        <f>L32*F32</f>
        <v>#REF!</v>
      </c>
      <c r="N32" s="55" t="e">
        <f>H32*L32</f>
        <v>#REF!</v>
      </c>
      <c r="O32" s="55" t="e">
        <f>K32*I32</f>
        <v>#REF!</v>
      </c>
      <c r="S32" s="53"/>
    </row>
    <row r="33" spans="1:20" ht="16" customHeight="1">
      <c r="B33" s="54" t="e">
        <f>'1'!#REF!</f>
        <v>#REF!</v>
      </c>
      <c r="C33" s="54" t="e">
        <f>'1'!#REF!</f>
        <v>#REF!</v>
      </c>
      <c r="D33" s="54" t="e">
        <f>'1'!#REF!</f>
        <v>#REF!</v>
      </c>
      <c r="E33" s="54" t="e">
        <f>'1'!#REF!</f>
        <v>#REF!</v>
      </c>
      <c r="F33" s="54" t="e">
        <f>'1'!#REF!</f>
        <v>#REF!</v>
      </c>
      <c r="G33" s="54" t="e">
        <f>'1'!#REF!</f>
        <v>#REF!</v>
      </c>
      <c r="H33" s="54" t="e">
        <f>'1'!#REF!</f>
        <v>#REF!</v>
      </c>
      <c r="I33" s="54" t="e">
        <f>'1'!#REF!</f>
        <v>#REF!</v>
      </c>
      <c r="K33" s="54" t="e">
        <f>'1'!#REF!</f>
        <v>#REF!</v>
      </c>
      <c r="L33" s="54" t="e">
        <f>K33/E33</f>
        <v>#REF!</v>
      </c>
      <c r="M33" s="55" t="e">
        <f>L33*F33</f>
        <v>#REF!</v>
      </c>
      <c r="N33" s="55" t="e">
        <f>H33*L33</f>
        <v>#REF!</v>
      </c>
      <c r="O33" s="55" t="e">
        <f>K33*I33</f>
        <v>#REF!</v>
      </c>
      <c r="S33" s="53"/>
    </row>
    <row r="34" spans="1:20" ht="16" customHeight="1">
      <c r="B34" s="54" t="str">
        <f>'1'!B57</f>
        <v>Headphone</v>
      </c>
      <c r="C34" s="54" t="str">
        <f>'1'!D57</f>
        <v>P205</v>
      </c>
      <c r="D34" s="54" t="str">
        <f>'1'!E57</f>
        <v>black</v>
      </c>
      <c r="E34" s="54">
        <f>'1'!F57</f>
        <v>40</v>
      </c>
      <c r="F34" s="54">
        <f>'1'!G57</f>
        <v>2.0499999999999998</v>
      </c>
      <c r="G34" s="54" t="str">
        <f>'1'!H57</f>
        <v>0.367*0.26*0.156M</v>
      </c>
      <c r="H34" s="54">
        <f>'1'!I57</f>
        <v>1.6364279999999998E-2</v>
      </c>
      <c r="I34" s="54">
        <f>'1'!J57</f>
        <v>3.4</v>
      </c>
      <c r="K34" s="54">
        <f>'1'!L57</f>
        <v>0</v>
      </c>
      <c r="L34" s="54">
        <f>K34/E34</f>
        <v>0</v>
      </c>
      <c r="M34" s="55">
        <f>L34*F34</f>
        <v>0</v>
      </c>
      <c r="N34" s="55">
        <f>H34*L34</f>
        <v>0</v>
      </c>
      <c r="O34" s="55">
        <f>K34*I34</f>
        <v>0</v>
      </c>
      <c r="S34" s="53"/>
    </row>
    <row r="35" spans="1:20" ht="16" customHeight="1">
      <c r="B35" s="54" t="str">
        <f>'1'!B58</f>
        <v>Headphone</v>
      </c>
      <c r="C35" s="54" t="str">
        <f>'1'!D58</f>
        <v>P205</v>
      </c>
      <c r="D35" s="54" t="str">
        <f>'1'!E58</f>
        <v>white</v>
      </c>
      <c r="E35" s="54">
        <f>'1'!F58</f>
        <v>40</v>
      </c>
      <c r="F35" s="54">
        <f>'1'!G58</f>
        <v>2.0499999999999998</v>
      </c>
      <c r="G35" s="54" t="str">
        <f>'1'!H58</f>
        <v>0.367*0.26*0.156M</v>
      </c>
      <c r="H35" s="54">
        <f>'1'!I58</f>
        <v>1.6364279999999998E-2</v>
      </c>
      <c r="I35" s="54">
        <f>'1'!J58</f>
        <v>3.4</v>
      </c>
      <c r="K35" s="54">
        <f>'1'!L58</f>
        <v>0</v>
      </c>
      <c r="L35" s="54">
        <f>K35/E35</f>
        <v>0</v>
      </c>
      <c r="M35" s="55">
        <f>L35*F35</f>
        <v>0</v>
      </c>
      <c r="N35" s="55">
        <f>H35*L35</f>
        <v>0</v>
      </c>
      <c r="O35" s="55">
        <f>K35*I35</f>
        <v>0</v>
      </c>
      <c r="S35" s="53"/>
    </row>
    <row r="36" spans="1:20" customFormat="1" ht="16" customHeight="1">
      <c r="A36" s="54"/>
      <c r="B36" s="54" t="e">
        <f>'1'!#REF!</f>
        <v>#REF!</v>
      </c>
      <c r="C36" s="54" t="e">
        <f>'1'!#REF!</f>
        <v>#REF!</v>
      </c>
      <c r="D36" s="54" t="e">
        <f>'1'!#REF!</f>
        <v>#REF!</v>
      </c>
      <c r="E36" s="54" t="e">
        <f>'1'!#REF!</f>
        <v>#REF!</v>
      </c>
      <c r="F36" s="54" t="e">
        <f>'1'!#REF!</f>
        <v>#REF!</v>
      </c>
      <c r="G36" s="54" t="e">
        <f>'1'!#REF!</f>
        <v>#REF!</v>
      </c>
      <c r="H36" s="54" t="e">
        <f>'1'!#REF!</f>
        <v>#REF!</v>
      </c>
      <c r="I36" s="54" t="e">
        <f>'1'!#REF!</f>
        <v>#REF!</v>
      </c>
      <c r="K36" s="54" t="e">
        <f>'1'!#REF!</f>
        <v>#REF!</v>
      </c>
      <c r="L36" s="54"/>
      <c r="M36" s="55"/>
      <c r="N36" s="55"/>
      <c r="O36" s="55"/>
      <c r="P36" s="54"/>
      <c r="Q36" s="54"/>
      <c r="S36" s="53"/>
      <c r="T36" s="54"/>
    </row>
    <row r="37" spans="1:20" customFormat="1" ht="16" customHeight="1">
      <c r="A37" s="54"/>
      <c r="B37" s="54" t="e">
        <f>'1'!#REF!</f>
        <v>#REF!</v>
      </c>
      <c r="C37" s="54" t="e">
        <f>'1'!#REF!</f>
        <v>#REF!</v>
      </c>
      <c r="D37" s="54" t="e">
        <f>'1'!#REF!</f>
        <v>#REF!</v>
      </c>
      <c r="E37" s="54" t="e">
        <f>'1'!#REF!</f>
        <v>#REF!</v>
      </c>
      <c r="F37" s="54" t="e">
        <f>'1'!#REF!</f>
        <v>#REF!</v>
      </c>
      <c r="G37" s="54" t="e">
        <f>'1'!#REF!</f>
        <v>#REF!</v>
      </c>
      <c r="H37" s="54" t="e">
        <f>'1'!#REF!</f>
        <v>#REF!</v>
      </c>
      <c r="I37" s="54" t="e">
        <f>'1'!#REF!</f>
        <v>#REF!</v>
      </c>
      <c r="K37" s="54" t="e">
        <f>'1'!#REF!</f>
        <v>#REF!</v>
      </c>
      <c r="L37" s="54"/>
      <c r="M37" s="55"/>
      <c r="N37" s="55"/>
      <c r="O37" s="55"/>
      <c r="P37" s="54"/>
      <c r="Q37" s="54"/>
      <c r="S37" s="53"/>
      <c r="T37" s="54"/>
    </row>
    <row r="38" spans="1:20" customFormat="1" ht="16" customHeight="1">
      <c r="A38" s="54"/>
      <c r="B38" s="54" t="e">
        <f>'1'!#REF!</f>
        <v>#REF!</v>
      </c>
      <c r="C38" s="54" t="e">
        <f>'1'!#REF!</f>
        <v>#REF!</v>
      </c>
      <c r="D38" s="54" t="e">
        <f>'1'!#REF!</f>
        <v>#REF!</v>
      </c>
      <c r="E38" s="54" t="e">
        <f>'1'!#REF!</f>
        <v>#REF!</v>
      </c>
      <c r="F38" s="54" t="e">
        <f>'1'!#REF!</f>
        <v>#REF!</v>
      </c>
      <c r="G38" s="54" t="e">
        <f>'1'!#REF!</f>
        <v>#REF!</v>
      </c>
      <c r="H38" s="54" t="e">
        <f>'1'!#REF!</f>
        <v>#REF!</v>
      </c>
      <c r="I38" s="54" t="e">
        <f>'1'!#REF!</f>
        <v>#REF!</v>
      </c>
      <c r="K38" s="54" t="e">
        <f>'1'!#REF!</f>
        <v>#REF!</v>
      </c>
      <c r="L38" s="54"/>
      <c r="M38" s="55"/>
      <c r="N38" s="55"/>
      <c r="O38" s="55"/>
      <c r="P38" s="54"/>
      <c r="Q38" s="54"/>
      <c r="S38" s="53"/>
      <c r="T38" s="54"/>
    </row>
    <row r="39" spans="1:20" customFormat="1" ht="16" customHeight="1">
      <c r="A39" s="54"/>
      <c r="B39" s="54" t="e">
        <f>'1'!#REF!</f>
        <v>#REF!</v>
      </c>
      <c r="C39" s="54" t="e">
        <f>'1'!#REF!</f>
        <v>#REF!</v>
      </c>
      <c r="D39" s="54" t="e">
        <f>'1'!#REF!</f>
        <v>#REF!</v>
      </c>
      <c r="E39" s="54" t="e">
        <f>'1'!#REF!</f>
        <v>#REF!</v>
      </c>
      <c r="F39" s="54" t="e">
        <f>'1'!#REF!</f>
        <v>#REF!</v>
      </c>
      <c r="G39" s="54" t="e">
        <f>'1'!#REF!</f>
        <v>#REF!</v>
      </c>
      <c r="H39" s="54" t="e">
        <f>'1'!#REF!</f>
        <v>#REF!</v>
      </c>
      <c r="I39" s="54" t="e">
        <f>'1'!#REF!</f>
        <v>#REF!</v>
      </c>
      <c r="K39" s="54" t="e">
        <f>'1'!#REF!</f>
        <v>#REF!</v>
      </c>
      <c r="L39" s="54"/>
      <c r="M39" s="55"/>
      <c r="N39" s="55"/>
      <c r="O39" s="55"/>
      <c r="P39" s="54"/>
      <c r="Q39" s="54"/>
      <c r="S39" s="53"/>
      <c r="T39" s="54"/>
    </row>
    <row r="40" spans="1:20" s="52" customFormat="1" ht="16" customHeight="1">
      <c r="A40" s="54"/>
      <c r="B40" s="54" t="e">
        <f>'1'!#REF!</f>
        <v>#REF!</v>
      </c>
      <c r="C40" s="54" t="e">
        <f>'1'!#REF!</f>
        <v>#REF!</v>
      </c>
      <c r="D40" s="54" t="e">
        <f>'1'!#REF!</f>
        <v>#REF!</v>
      </c>
      <c r="E40" s="54" t="e">
        <f>'1'!#REF!</f>
        <v>#REF!</v>
      </c>
      <c r="F40" s="54" t="e">
        <f>'1'!#REF!</f>
        <v>#REF!</v>
      </c>
      <c r="G40" s="54" t="e">
        <f>'1'!#REF!</f>
        <v>#REF!</v>
      </c>
      <c r="H40" s="54" t="e">
        <f>'1'!#REF!</f>
        <v>#REF!</v>
      </c>
      <c r="I40" s="54" t="e">
        <f>'1'!#REF!</f>
        <v>#REF!</v>
      </c>
      <c r="K40" s="54" t="e">
        <f>'1'!#REF!</f>
        <v>#REF!</v>
      </c>
      <c r="L40" s="54"/>
      <c r="M40" s="55"/>
      <c r="N40" s="55"/>
      <c r="O40" s="55"/>
      <c r="P40" s="54"/>
      <c r="Q40" s="54"/>
      <c r="S40" s="53"/>
      <c r="T40" s="54"/>
    </row>
    <row r="41" spans="1:20" s="52" customFormat="1" ht="16" customHeight="1">
      <c r="A41" s="54"/>
      <c r="B41" s="54" t="e">
        <f>'1'!#REF!</f>
        <v>#REF!</v>
      </c>
      <c r="C41" s="54" t="e">
        <f>'1'!#REF!</f>
        <v>#REF!</v>
      </c>
      <c r="D41" s="54" t="e">
        <f>'1'!#REF!</f>
        <v>#REF!</v>
      </c>
      <c r="E41" s="54" t="e">
        <f>'1'!#REF!</f>
        <v>#REF!</v>
      </c>
      <c r="F41" s="54" t="e">
        <f>'1'!#REF!</f>
        <v>#REF!</v>
      </c>
      <c r="G41" s="54" t="e">
        <f>'1'!#REF!</f>
        <v>#REF!</v>
      </c>
      <c r="H41" s="54" t="e">
        <f>'1'!#REF!</f>
        <v>#REF!</v>
      </c>
      <c r="I41" s="54" t="e">
        <f>'1'!#REF!</f>
        <v>#REF!</v>
      </c>
      <c r="K41" s="54" t="e">
        <f>'1'!#REF!</f>
        <v>#REF!</v>
      </c>
      <c r="L41" s="54"/>
      <c r="M41" s="55"/>
      <c r="N41" s="55"/>
      <c r="O41" s="55"/>
      <c r="P41" s="54"/>
      <c r="Q41" s="54"/>
      <c r="S41" s="53"/>
      <c r="T41" s="54"/>
    </row>
    <row r="42" spans="1:20" s="52" customFormat="1" ht="16" customHeight="1">
      <c r="A42" s="54"/>
      <c r="B42" s="54" t="e">
        <f>'1'!#REF!</f>
        <v>#REF!</v>
      </c>
      <c r="C42" s="54" t="e">
        <f>'1'!#REF!</f>
        <v>#REF!</v>
      </c>
      <c r="D42" s="54" t="e">
        <f>'1'!#REF!</f>
        <v>#REF!</v>
      </c>
      <c r="E42" s="54" t="e">
        <f>'1'!#REF!</f>
        <v>#REF!</v>
      </c>
      <c r="F42" s="54" t="e">
        <f>'1'!#REF!</f>
        <v>#REF!</v>
      </c>
      <c r="G42" s="54" t="e">
        <f>'1'!#REF!</f>
        <v>#REF!</v>
      </c>
      <c r="H42" s="54" t="e">
        <f>'1'!#REF!</f>
        <v>#REF!</v>
      </c>
      <c r="I42" s="54" t="e">
        <f>'1'!#REF!</f>
        <v>#REF!</v>
      </c>
      <c r="K42" s="54" t="e">
        <f>'1'!#REF!</f>
        <v>#REF!</v>
      </c>
      <c r="L42" s="54"/>
      <c r="M42" s="55"/>
      <c r="N42" s="55"/>
      <c r="O42" s="55"/>
      <c r="P42" s="54"/>
      <c r="Q42" s="54"/>
      <c r="S42" s="53"/>
      <c r="T42" s="54"/>
    </row>
    <row r="43" spans="1:20" s="52" customFormat="1" ht="16" customHeight="1">
      <c r="A43" s="54"/>
      <c r="B43" s="54" t="e">
        <f>'1'!#REF!</f>
        <v>#REF!</v>
      </c>
      <c r="C43" s="54" t="e">
        <f>'1'!#REF!</f>
        <v>#REF!</v>
      </c>
      <c r="D43" s="54" t="e">
        <f>'1'!#REF!</f>
        <v>#REF!</v>
      </c>
      <c r="E43" s="54" t="e">
        <f>'1'!#REF!</f>
        <v>#REF!</v>
      </c>
      <c r="F43" s="54" t="e">
        <f>'1'!#REF!</f>
        <v>#REF!</v>
      </c>
      <c r="G43" s="54" t="e">
        <f>'1'!#REF!</f>
        <v>#REF!</v>
      </c>
      <c r="H43" s="54" t="e">
        <f>'1'!#REF!</f>
        <v>#REF!</v>
      </c>
      <c r="I43" s="54" t="e">
        <f>'1'!#REF!</f>
        <v>#REF!</v>
      </c>
      <c r="K43" s="54" t="e">
        <f>'1'!#REF!</f>
        <v>#REF!</v>
      </c>
      <c r="L43" s="54"/>
      <c r="M43" s="55"/>
      <c r="N43" s="55"/>
      <c r="O43" s="55"/>
      <c r="P43" s="54"/>
      <c r="Q43" s="54"/>
      <c r="S43" s="53"/>
      <c r="T43" s="54"/>
    </row>
    <row r="44" spans="1:20" s="52" customFormat="1" ht="16" customHeight="1">
      <c r="A44" s="54"/>
      <c r="B44" s="54" t="e">
        <f>'1'!#REF!</f>
        <v>#REF!</v>
      </c>
      <c r="C44" s="54" t="e">
        <f>'1'!#REF!</f>
        <v>#REF!</v>
      </c>
      <c r="D44" s="54" t="e">
        <f>'1'!#REF!</f>
        <v>#REF!</v>
      </c>
      <c r="E44" s="54" t="e">
        <f>'1'!#REF!</f>
        <v>#REF!</v>
      </c>
      <c r="F44" s="54" t="e">
        <f>'1'!#REF!</f>
        <v>#REF!</v>
      </c>
      <c r="G44" s="54" t="e">
        <f>'1'!#REF!</f>
        <v>#REF!</v>
      </c>
      <c r="H44" s="54" t="e">
        <f>'1'!#REF!</f>
        <v>#REF!</v>
      </c>
      <c r="I44" s="54" t="e">
        <f>'1'!#REF!</f>
        <v>#REF!</v>
      </c>
      <c r="K44" s="54" t="e">
        <f>'1'!#REF!</f>
        <v>#REF!</v>
      </c>
      <c r="L44" s="54"/>
      <c r="M44" s="55"/>
      <c r="N44" s="55"/>
      <c r="O44" s="55"/>
      <c r="P44" s="54"/>
      <c r="Q44" s="54"/>
      <c r="S44" s="53"/>
      <c r="T44" s="54"/>
    </row>
    <row r="45" spans="1:20" s="52" customFormat="1" ht="16" customHeight="1">
      <c r="A45" s="54"/>
      <c r="B45" s="54" t="e">
        <f>'1'!#REF!</f>
        <v>#REF!</v>
      </c>
      <c r="C45" s="54" t="e">
        <f>'1'!#REF!</f>
        <v>#REF!</v>
      </c>
      <c r="D45" s="54" t="e">
        <f>'1'!#REF!</f>
        <v>#REF!</v>
      </c>
      <c r="E45" s="54" t="e">
        <f>'1'!#REF!</f>
        <v>#REF!</v>
      </c>
      <c r="F45" s="54" t="e">
        <f>'1'!#REF!</f>
        <v>#REF!</v>
      </c>
      <c r="G45" s="54" t="e">
        <f>'1'!#REF!</f>
        <v>#REF!</v>
      </c>
      <c r="H45" s="54" t="e">
        <f>'1'!#REF!</f>
        <v>#REF!</v>
      </c>
      <c r="I45" s="54" t="e">
        <f>'1'!#REF!</f>
        <v>#REF!</v>
      </c>
      <c r="K45" s="54" t="e">
        <f>'1'!#REF!</f>
        <v>#REF!</v>
      </c>
      <c r="L45" s="54"/>
      <c r="M45" s="55"/>
      <c r="N45" s="55"/>
      <c r="O45" s="55"/>
      <c r="P45" s="54"/>
      <c r="Q45" s="54"/>
      <c r="S45" s="53"/>
      <c r="T45" s="54"/>
    </row>
    <row r="46" spans="1:20" s="52" customFormat="1" ht="16" customHeight="1">
      <c r="A46" s="54"/>
      <c r="B46" s="54" t="e">
        <f>'1'!#REF!</f>
        <v>#REF!</v>
      </c>
      <c r="C46" s="54" t="e">
        <f>'1'!#REF!</f>
        <v>#REF!</v>
      </c>
      <c r="D46" s="54" t="e">
        <f>'1'!#REF!</f>
        <v>#REF!</v>
      </c>
      <c r="E46" s="54" t="e">
        <f>'1'!#REF!</f>
        <v>#REF!</v>
      </c>
      <c r="F46" s="54" t="e">
        <f>'1'!#REF!</f>
        <v>#REF!</v>
      </c>
      <c r="G46" s="54" t="e">
        <f>'1'!#REF!</f>
        <v>#REF!</v>
      </c>
      <c r="H46" s="54" t="e">
        <f>'1'!#REF!</f>
        <v>#REF!</v>
      </c>
      <c r="I46" s="54" t="e">
        <f>'1'!#REF!</f>
        <v>#REF!</v>
      </c>
      <c r="K46" s="54" t="e">
        <f>'1'!#REF!</f>
        <v>#REF!</v>
      </c>
      <c r="L46" s="54"/>
      <c r="M46" s="55"/>
      <c r="N46" s="55"/>
      <c r="O46" s="55"/>
      <c r="P46" s="54"/>
      <c r="Q46" s="54"/>
      <c r="S46" s="53"/>
      <c r="T46" s="54"/>
    </row>
    <row r="47" spans="1:20" s="52" customFormat="1" ht="16" customHeight="1">
      <c r="A47" s="54"/>
      <c r="B47" s="54" t="e">
        <f>'1'!#REF!</f>
        <v>#REF!</v>
      </c>
      <c r="C47" s="54" t="e">
        <f>'1'!#REF!</f>
        <v>#REF!</v>
      </c>
      <c r="D47" s="54" t="e">
        <f>'1'!#REF!</f>
        <v>#REF!</v>
      </c>
      <c r="E47" s="54" t="e">
        <f>'1'!#REF!</f>
        <v>#REF!</v>
      </c>
      <c r="F47" s="54" t="e">
        <f>'1'!#REF!</f>
        <v>#REF!</v>
      </c>
      <c r="G47" s="54" t="e">
        <f>'1'!#REF!</f>
        <v>#REF!</v>
      </c>
      <c r="H47" s="54" t="e">
        <f>'1'!#REF!</f>
        <v>#REF!</v>
      </c>
      <c r="I47" s="54" t="e">
        <f>'1'!#REF!</f>
        <v>#REF!</v>
      </c>
      <c r="K47" s="54" t="e">
        <f>'1'!#REF!</f>
        <v>#REF!</v>
      </c>
      <c r="L47" s="54"/>
      <c r="M47" s="55"/>
      <c r="N47" s="55"/>
      <c r="O47" s="55"/>
      <c r="P47" s="54"/>
      <c r="Q47" s="54"/>
      <c r="S47" s="53"/>
      <c r="T47" s="54"/>
    </row>
    <row r="48" spans="1:20" customFormat="1" ht="16" customHeight="1">
      <c r="A48" s="54"/>
      <c r="B48" s="54" t="e">
        <f>'1'!#REF!</f>
        <v>#REF!</v>
      </c>
      <c r="C48" s="54" t="e">
        <f>'1'!#REF!</f>
        <v>#REF!</v>
      </c>
      <c r="D48" s="54" t="e">
        <f>'1'!#REF!</f>
        <v>#REF!</v>
      </c>
      <c r="E48" s="54" t="e">
        <f>'1'!#REF!</f>
        <v>#REF!</v>
      </c>
      <c r="F48" s="54" t="e">
        <f>'1'!#REF!</f>
        <v>#REF!</v>
      </c>
      <c r="G48" s="54" t="e">
        <f>'1'!#REF!</f>
        <v>#REF!</v>
      </c>
      <c r="H48" s="54" t="e">
        <f>'1'!#REF!</f>
        <v>#REF!</v>
      </c>
      <c r="I48" s="54" t="e">
        <f>'1'!#REF!</f>
        <v>#REF!</v>
      </c>
      <c r="K48" s="54" t="e">
        <f>'1'!#REF!</f>
        <v>#REF!</v>
      </c>
      <c r="L48" s="54"/>
      <c r="M48" s="55"/>
      <c r="N48" s="55"/>
      <c r="O48" s="55"/>
      <c r="P48" s="54"/>
      <c r="Q48" s="54"/>
      <c r="S48" s="53"/>
      <c r="T48" s="54"/>
    </row>
    <row r="49" spans="9:20" s="53" customFormat="1" ht="21" customHeight="1">
      <c r="I49" s="71"/>
      <c r="M49" s="71"/>
      <c r="N49" s="71"/>
      <c r="O49" s="71"/>
      <c r="T49" s="72"/>
    </row>
    <row r="50" spans="9:20" ht="16" customHeight="1"/>
  </sheetData>
  <autoFilter ref="A1:T48" xr:uid="{00000000-0009-0000-0000-000001000000}"/>
  <conditionalFormatting sqref="J1:J11">
    <cfRule type="cellIs" dxfId="29" priority="42" operator="lessThan">
      <formula>0</formula>
    </cfRule>
  </conditionalFormatting>
  <conditionalFormatting sqref="J15:J1048576">
    <cfRule type="cellIs" dxfId="28" priority="16" operator="lessThan">
      <formula>0</formula>
    </cfRule>
  </conditionalFormatting>
  <conditionalFormatting sqref="L1:L1048576">
    <cfRule type="containsText" dxfId="27" priority="2" operator="containsText" text=".">
      <formula>NOT(ISERROR(SEARCH(".",L1)))</formula>
    </cfRule>
  </conditionalFormatting>
  <pageMargins left="0.75" right="0.75" top="1" bottom="1" header="0.5" footer="0.5"/>
  <pageSetup paperSize="9" orientation="portrait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C187"/>
  <sheetViews>
    <sheetView topLeftCell="A46" workbookViewId="0">
      <selection activeCell="F75" sqref="F75"/>
    </sheetView>
  </sheetViews>
  <sheetFormatPr defaultColWidth="9.1796875" defaultRowHeight="14.5"/>
  <cols>
    <col min="1" max="1" width="15.7265625" style="1" customWidth="1"/>
    <col min="2" max="2" width="12.7265625" style="2" customWidth="1"/>
  </cols>
  <sheetData>
    <row r="2" spans="1:2" ht="29">
      <c r="A2" s="3" t="s">
        <v>189</v>
      </c>
      <c r="B2" s="4" t="s">
        <v>190</v>
      </c>
    </row>
    <row r="3" spans="1:2">
      <c r="A3" s="5" t="s">
        <v>142</v>
      </c>
      <c r="B3" s="6">
        <v>13</v>
      </c>
    </row>
    <row r="4" spans="1:2">
      <c r="A4" s="7" t="s">
        <v>140</v>
      </c>
      <c r="B4" s="6" t="s">
        <v>191</v>
      </c>
    </row>
    <row r="5" spans="1:2">
      <c r="A5" s="7" t="s">
        <v>155</v>
      </c>
      <c r="B5" s="6">
        <v>16</v>
      </c>
    </row>
    <row r="6" spans="1:2">
      <c r="A6" s="7" t="s">
        <v>192</v>
      </c>
      <c r="B6" s="6" t="s">
        <v>191</v>
      </c>
    </row>
    <row r="7" spans="1:2">
      <c r="A7" s="7" t="s">
        <v>193</v>
      </c>
      <c r="B7" s="6"/>
    </row>
    <row r="8" spans="1:2">
      <c r="A8" s="7" t="s">
        <v>194</v>
      </c>
      <c r="B8" s="6"/>
    </row>
    <row r="9" spans="1:2">
      <c r="A9" s="7" t="s">
        <v>195</v>
      </c>
      <c r="B9" s="6"/>
    </row>
    <row r="10" spans="1:2">
      <c r="A10" s="7" t="s">
        <v>196</v>
      </c>
      <c r="B10" s="6"/>
    </row>
    <row r="11" spans="1:2">
      <c r="A11" s="7" t="s">
        <v>133</v>
      </c>
      <c r="B11" s="6">
        <v>26</v>
      </c>
    </row>
    <row r="12" spans="1:2">
      <c r="A12" s="7" t="s">
        <v>139</v>
      </c>
      <c r="B12" s="6">
        <v>28</v>
      </c>
    </row>
    <row r="13" spans="1:2">
      <c r="A13" s="5" t="s">
        <v>138</v>
      </c>
      <c r="B13" s="6">
        <v>40</v>
      </c>
    </row>
    <row r="14" spans="1:2">
      <c r="A14" s="5" t="s">
        <v>197</v>
      </c>
      <c r="B14" s="6">
        <v>48</v>
      </c>
    </row>
    <row r="15" spans="1:2">
      <c r="A15" s="5" t="s">
        <v>197</v>
      </c>
      <c r="B15" s="6"/>
    </row>
    <row r="16" spans="1:2">
      <c r="A16" s="5" t="s">
        <v>198</v>
      </c>
      <c r="B16" s="6"/>
    </row>
    <row r="17" spans="1:2">
      <c r="A17" s="5" t="s">
        <v>199</v>
      </c>
      <c r="B17" s="6">
        <v>30</v>
      </c>
    </row>
    <row r="18" spans="1:2">
      <c r="A18" s="5" t="s">
        <v>200</v>
      </c>
      <c r="B18" s="6">
        <v>17.5</v>
      </c>
    </row>
    <row r="19" spans="1:2">
      <c r="A19" s="5" t="s">
        <v>201</v>
      </c>
      <c r="B19" s="6">
        <v>30.5</v>
      </c>
    </row>
    <row r="20" spans="1:2">
      <c r="A20" s="5" t="s">
        <v>202</v>
      </c>
      <c r="B20" s="6">
        <v>27</v>
      </c>
    </row>
    <row r="21" spans="1:2">
      <c r="A21" s="5" t="s">
        <v>203</v>
      </c>
      <c r="B21" s="6"/>
    </row>
    <row r="22" spans="1:2">
      <c r="A22" s="5" t="s">
        <v>148</v>
      </c>
      <c r="B22" s="6"/>
    </row>
    <row r="23" spans="1:2">
      <c r="A23" s="7" t="s">
        <v>204</v>
      </c>
      <c r="B23" s="6">
        <v>15</v>
      </c>
    </row>
    <row r="24" spans="1:2">
      <c r="A24" s="7" t="s">
        <v>205</v>
      </c>
      <c r="B24" s="6" t="s">
        <v>206</v>
      </c>
    </row>
    <row r="25" spans="1:2">
      <c r="A25" s="5" t="s">
        <v>136</v>
      </c>
      <c r="B25" s="6">
        <v>28</v>
      </c>
    </row>
    <row r="26" spans="1:2">
      <c r="A26" s="5" t="s">
        <v>207</v>
      </c>
      <c r="B26" s="6">
        <v>28</v>
      </c>
    </row>
    <row r="27" spans="1:2">
      <c r="A27" s="5" t="s">
        <v>208</v>
      </c>
      <c r="B27" s="6"/>
    </row>
    <row r="28" spans="1:2">
      <c r="A28" s="5" t="s">
        <v>137</v>
      </c>
      <c r="B28" s="6">
        <v>127</v>
      </c>
    </row>
    <row r="29" spans="1:2">
      <c r="A29" s="8" t="s">
        <v>134</v>
      </c>
      <c r="B29" s="9">
        <v>3.7</v>
      </c>
    </row>
    <row r="30" spans="1:2">
      <c r="A30" s="8" t="s">
        <v>209</v>
      </c>
      <c r="B30" s="10">
        <v>17</v>
      </c>
    </row>
    <row r="31" spans="1:2">
      <c r="A31" s="8" t="s">
        <v>210</v>
      </c>
      <c r="B31" s="10">
        <v>35</v>
      </c>
    </row>
    <row r="32" spans="1:2">
      <c r="A32" s="11" t="s">
        <v>211</v>
      </c>
      <c r="B32" s="12">
        <v>2.2999999999999998</v>
      </c>
    </row>
    <row r="33" spans="1:2">
      <c r="A33" s="11" t="s">
        <v>212</v>
      </c>
      <c r="B33" s="12">
        <v>3.8</v>
      </c>
    </row>
    <row r="34" spans="1:2">
      <c r="A34" s="11" t="s">
        <v>213</v>
      </c>
      <c r="B34" s="12">
        <v>3.2</v>
      </c>
    </row>
    <row r="35" spans="1:2">
      <c r="A35" s="11" t="s">
        <v>214</v>
      </c>
      <c r="B35" s="12">
        <v>5</v>
      </c>
    </row>
    <row r="36" spans="1:2">
      <c r="A36" s="11" t="s">
        <v>215</v>
      </c>
      <c r="B36" s="12">
        <v>6.5</v>
      </c>
    </row>
    <row r="37" spans="1:2">
      <c r="A37" s="11" t="s">
        <v>216</v>
      </c>
      <c r="B37" s="12">
        <v>10.199999999999999</v>
      </c>
    </row>
    <row r="38" spans="1:2">
      <c r="A38" s="11" t="s">
        <v>217</v>
      </c>
      <c r="B38" s="12">
        <v>12.5</v>
      </c>
    </row>
    <row r="39" spans="1:2">
      <c r="A39" s="11" t="s">
        <v>218</v>
      </c>
      <c r="B39" s="12">
        <v>8.8000000000000007</v>
      </c>
    </row>
    <row r="40" spans="1:2">
      <c r="A40" s="11" t="s">
        <v>219</v>
      </c>
      <c r="B40" s="12">
        <v>15.8</v>
      </c>
    </row>
    <row r="41" spans="1:2">
      <c r="A41" s="11" t="s">
        <v>220</v>
      </c>
      <c r="B41" s="12" t="s">
        <v>191</v>
      </c>
    </row>
    <row r="42" spans="1:2">
      <c r="A42" s="11" t="s">
        <v>221</v>
      </c>
      <c r="B42" s="12">
        <v>9</v>
      </c>
    </row>
    <row r="43" spans="1:2">
      <c r="A43" s="11" t="s">
        <v>222</v>
      </c>
      <c r="B43" s="12">
        <v>13.5</v>
      </c>
    </row>
    <row r="44" spans="1:2">
      <c r="A44" s="11" t="s">
        <v>223</v>
      </c>
      <c r="B44" s="12" t="s">
        <v>191</v>
      </c>
    </row>
    <row r="45" spans="1:2">
      <c r="A45" s="11" t="s">
        <v>224</v>
      </c>
      <c r="B45" s="12">
        <v>26</v>
      </c>
    </row>
    <row r="46" spans="1:2">
      <c r="A46" s="11" t="s">
        <v>225</v>
      </c>
      <c r="B46" s="12">
        <v>19.5</v>
      </c>
    </row>
    <row r="47" spans="1:2">
      <c r="A47" s="11" t="s">
        <v>226</v>
      </c>
      <c r="B47" s="12" t="s">
        <v>191</v>
      </c>
    </row>
    <row r="48" spans="1:2">
      <c r="A48" s="11" t="s">
        <v>227</v>
      </c>
      <c r="B48" s="12">
        <v>46</v>
      </c>
    </row>
    <row r="49" spans="1:3">
      <c r="A49" s="13" t="s">
        <v>228</v>
      </c>
      <c r="B49" s="12">
        <v>17</v>
      </c>
    </row>
    <row r="50" spans="1:3">
      <c r="A50" s="11" t="s">
        <v>229</v>
      </c>
      <c r="B50" s="12" t="s">
        <v>191</v>
      </c>
    </row>
    <row r="51" spans="1:3">
      <c r="A51" s="13" t="s">
        <v>230</v>
      </c>
      <c r="B51" s="12">
        <v>38</v>
      </c>
    </row>
    <row r="52" spans="1:3">
      <c r="A52" s="14" t="s">
        <v>231</v>
      </c>
      <c r="B52" s="15">
        <v>69</v>
      </c>
    </row>
    <row r="53" spans="1:3">
      <c r="A53" s="11" t="s">
        <v>232</v>
      </c>
      <c r="B53" s="12">
        <v>53</v>
      </c>
    </row>
    <row r="54" spans="1:3">
      <c r="A54" s="11" t="s">
        <v>233</v>
      </c>
      <c r="B54" s="12">
        <v>42</v>
      </c>
    </row>
    <row r="55" spans="1:3">
      <c r="A55" s="13" t="s">
        <v>234</v>
      </c>
      <c r="B55" s="12">
        <v>20</v>
      </c>
    </row>
    <row r="56" spans="1:3">
      <c r="A56" s="11" t="s">
        <v>235</v>
      </c>
      <c r="B56" s="12">
        <v>65</v>
      </c>
    </row>
    <row r="57" spans="1:3">
      <c r="A57" s="11" t="s">
        <v>236</v>
      </c>
      <c r="B57" s="12">
        <v>25</v>
      </c>
    </row>
    <row r="58" spans="1:3">
      <c r="A58" s="16"/>
    </row>
    <row r="59" spans="1:3">
      <c r="A59" s="16"/>
    </row>
    <row r="60" spans="1:3">
      <c r="A60" s="16"/>
    </row>
    <row r="61" spans="1:3">
      <c r="A61" s="8" t="s">
        <v>237</v>
      </c>
      <c r="B61" s="10"/>
    </row>
    <row r="63" spans="1:3">
      <c r="A63" s="17" t="s">
        <v>238</v>
      </c>
      <c r="B63" s="18"/>
      <c r="C63" s="19"/>
    </row>
    <row r="64" spans="1:3">
      <c r="A64" s="17" t="s">
        <v>239</v>
      </c>
      <c r="B64" s="18"/>
      <c r="C64" s="19"/>
    </row>
    <row r="65" spans="1:3" ht="39">
      <c r="A65" s="20" t="s">
        <v>240</v>
      </c>
      <c r="B65" s="21" t="s">
        <v>241</v>
      </c>
      <c r="C65" s="20" t="s">
        <v>242</v>
      </c>
    </row>
    <row r="66" spans="1:3" ht="12.5">
      <c r="A66" s="22" t="s">
        <v>22</v>
      </c>
      <c r="B66" s="23">
        <v>48.4</v>
      </c>
      <c r="C66" s="22" t="s">
        <v>20</v>
      </c>
    </row>
    <row r="67" spans="1:3" ht="12.5">
      <c r="A67" s="22" t="s">
        <v>22</v>
      </c>
      <c r="B67" s="23">
        <v>48.4</v>
      </c>
      <c r="C67" s="22" t="s">
        <v>29</v>
      </c>
    </row>
    <row r="68" spans="1:3" ht="12.5">
      <c r="A68" s="22" t="s">
        <v>22</v>
      </c>
      <c r="B68" s="23">
        <v>48.4</v>
      </c>
      <c r="C68" s="22" t="s">
        <v>26</v>
      </c>
    </row>
    <row r="69" spans="1:3" ht="12.5">
      <c r="A69" s="24" t="s">
        <v>243</v>
      </c>
      <c r="B69" s="23">
        <v>22</v>
      </c>
      <c r="C69" s="24" t="s">
        <v>244</v>
      </c>
    </row>
    <row r="70" spans="1:3" ht="12.5">
      <c r="A70" s="25" t="s">
        <v>101</v>
      </c>
      <c r="B70" s="26">
        <v>45</v>
      </c>
      <c r="C70" s="25" t="s">
        <v>20</v>
      </c>
    </row>
    <row r="71" spans="1:3" ht="12.5">
      <c r="A71" s="27" t="s">
        <v>101</v>
      </c>
      <c r="B71" s="28">
        <v>45</v>
      </c>
      <c r="C71" s="27" t="s">
        <v>245</v>
      </c>
    </row>
    <row r="72" spans="1:3" ht="12.5">
      <c r="A72" s="24" t="s">
        <v>246</v>
      </c>
      <c r="B72" s="23">
        <v>33</v>
      </c>
      <c r="C72" s="24" t="s">
        <v>20</v>
      </c>
    </row>
    <row r="73" spans="1:3" ht="12.5">
      <c r="A73" s="24" t="s">
        <v>246</v>
      </c>
      <c r="B73" s="23">
        <v>33</v>
      </c>
      <c r="C73" s="24" t="s">
        <v>29</v>
      </c>
    </row>
    <row r="74" spans="1:3" ht="12.5">
      <c r="A74" s="24" t="s">
        <v>247</v>
      </c>
      <c r="B74" s="29">
        <v>8</v>
      </c>
      <c r="C74" s="24" t="s">
        <v>131</v>
      </c>
    </row>
    <row r="75" spans="1:3" ht="12.5">
      <c r="A75" s="24" t="s">
        <v>247</v>
      </c>
      <c r="B75" s="29">
        <v>8</v>
      </c>
      <c r="C75" s="24" t="s">
        <v>26</v>
      </c>
    </row>
    <row r="76" spans="1:3" ht="12.5">
      <c r="A76" s="24" t="s">
        <v>248</v>
      </c>
      <c r="B76" s="23">
        <v>23</v>
      </c>
      <c r="C76" s="24" t="s">
        <v>26</v>
      </c>
    </row>
    <row r="77" spans="1:3" ht="12.5">
      <c r="A77" s="24" t="s">
        <v>248</v>
      </c>
      <c r="B77" s="23">
        <v>23</v>
      </c>
      <c r="C77" s="24" t="s">
        <v>249</v>
      </c>
    </row>
    <row r="78" spans="1:3" ht="12.5">
      <c r="A78" s="24" t="s">
        <v>248</v>
      </c>
      <c r="B78" s="23">
        <v>23</v>
      </c>
      <c r="C78" s="24" t="s">
        <v>250</v>
      </c>
    </row>
    <row r="79" spans="1:3" ht="12.5">
      <c r="A79" s="24" t="s">
        <v>251</v>
      </c>
      <c r="B79" s="23">
        <v>31</v>
      </c>
      <c r="C79" s="24" t="s">
        <v>98</v>
      </c>
    </row>
    <row r="80" spans="1:3" ht="12.5">
      <c r="A80" s="24" t="s">
        <v>251</v>
      </c>
      <c r="B80" s="23">
        <v>31</v>
      </c>
      <c r="C80" s="24" t="s">
        <v>252</v>
      </c>
    </row>
    <row r="81" spans="1:3" ht="13">
      <c r="A81" s="30" t="s">
        <v>253</v>
      </c>
      <c r="B81" s="31">
        <v>58</v>
      </c>
      <c r="C81" s="30" t="s">
        <v>20</v>
      </c>
    </row>
    <row r="82" spans="1:3" ht="12.5">
      <c r="A82" s="32" t="s">
        <v>87</v>
      </c>
      <c r="B82" s="23">
        <v>165</v>
      </c>
      <c r="C82" s="24" t="s">
        <v>20</v>
      </c>
    </row>
    <row r="83" spans="1:3" ht="12.5">
      <c r="A83" s="22" t="s">
        <v>25</v>
      </c>
      <c r="B83" s="23">
        <v>50</v>
      </c>
      <c r="C83" s="22" t="s">
        <v>26</v>
      </c>
    </row>
    <row r="84" spans="1:3" ht="12.5">
      <c r="A84" s="22" t="s">
        <v>25</v>
      </c>
      <c r="B84" s="23">
        <v>50</v>
      </c>
      <c r="C84" s="22" t="s">
        <v>29</v>
      </c>
    </row>
    <row r="85" spans="1:3" ht="12.5">
      <c r="A85" s="22" t="s">
        <v>254</v>
      </c>
      <c r="B85" s="23">
        <v>220</v>
      </c>
      <c r="C85" s="24" t="s">
        <v>255</v>
      </c>
    </row>
    <row r="86" spans="1:3" ht="12.5">
      <c r="A86" s="24" t="s">
        <v>256</v>
      </c>
      <c r="B86" s="33">
        <v>23</v>
      </c>
      <c r="C86" s="24" t="s">
        <v>26</v>
      </c>
    </row>
    <row r="87" spans="1:3" ht="12.5">
      <c r="A87" s="24" t="s">
        <v>257</v>
      </c>
      <c r="B87" s="34" t="s">
        <v>258</v>
      </c>
      <c r="C87" s="24" t="s">
        <v>26</v>
      </c>
    </row>
    <row r="88" spans="1:3" ht="12.5">
      <c r="A88" s="24" t="s">
        <v>259</v>
      </c>
      <c r="B88" s="33">
        <v>7</v>
      </c>
      <c r="C88" s="24" t="s">
        <v>26</v>
      </c>
    </row>
    <row r="89" spans="1:3" ht="12.5">
      <c r="A89" s="24" t="s">
        <v>260</v>
      </c>
      <c r="B89" s="33">
        <v>9.1</v>
      </c>
      <c r="C89" s="24" t="s">
        <v>26</v>
      </c>
    </row>
    <row r="90" spans="1:3" ht="12.5">
      <c r="A90" s="24" t="s">
        <v>260</v>
      </c>
      <c r="B90" s="33">
        <v>9.1</v>
      </c>
      <c r="C90" s="24" t="s">
        <v>97</v>
      </c>
    </row>
    <row r="91" spans="1:3" ht="12.5">
      <c r="A91" s="24" t="s">
        <v>260</v>
      </c>
      <c r="B91" s="33">
        <v>9.1</v>
      </c>
      <c r="C91" s="24" t="s">
        <v>29</v>
      </c>
    </row>
    <row r="92" spans="1:3" ht="13">
      <c r="A92" s="25" t="s">
        <v>129</v>
      </c>
      <c r="B92" s="35">
        <v>17.5</v>
      </c>
      <c r="C92" s="25" t="s">
        <v>26</v>
      </c>
    </row>
    <row r="93" spans="1:3" ht="12.5">
      <c r="A93" s="24" t="s">
        <v>73</v>
      </c>
      <c r="B93" s="33">
        <v>31.7</v>
      </c>
      <c r="C93" s="24" t="s">
        <v>26</v>
      </c>
    </row>
    <row r="94" spans="1:3" ht="12.5">
      <c r="A94" s="24" t="s">
        <v>261</v>
      </c>
      <c r="B94" s="33">
        <v>35</v>
      </c>
      <c r="C94" s="24" t="s">
        <v>26</v>
      </c>
    </row>
    <row r="95" spans="1:3" ht="12.5">
      <c r="A95" s="24" t="s">
        <v>261</v>
      </c>
      <c r="B95" s="33">
        <v>35</v>
      </c>
      <c r="C95" s="24" t="s">
        <v>20</v>
      </c>
    </row>
    <row r="96" spans="1:3" ht="12.5">
      <c r="A96" s="24" t="s">
        <v>262</v>
      </c>
      <c r="B96" s="33">
        <v>36</v>
      </c>
      <c r="C96" s="24" t="s">
        <v>26</v>
      </c>
    </row>
    <row r="97" spans="1:3" ht="12.5">
      <c r="A97" s="36" t="s">
        <v>54</v>
      </c>
      <c r="B97" s="37">
        <v>44.2</v>
      </c>
      <c r="C97" s="36" t="s">
        <v>29</v>
      </c>
    </row>
    <row r="98" spans="1:3" ht="12.5">
      <c r="A98" s="38" t="s">
        <v>54</v>
      </c>
      <c r="B98" s="33">
        <v>44.2</v>
      </c>
      <c r="C98" s="38" t="s">
        <v>26</v>
      </c>
    </row>
    <row r="99" spans="1:3" ht="12.5">
      <c r="A99" s="24" t="s">
        <v>54</v>
      </c>
      <c r="B99" s="33">
        <v>44.2</v>
      </c>
      <c r="C99" s="24" t="s">
        <v>20</v>
      </c>
    </row>
    <row r="100" spans="1:3" ht="12.5">
      <c r="A100" s="22" t="s">
        <v>55</v>
      </c>
      <c r="B100" s="33">
        <v>48.4</v>
      </c>
      <c r="C100" s="22" t="s">
        <v>20</v>
      </c>
    </row>
    <row r="101" spans="1:3" ht="13">
      <c r="A101" s="30" t="s">
        <v>263</v>
      </c>
      <c r="B101" s="31">
        <v>51.5</v>
      </c>
      <c r="C101" s="30" t="s">
        <v>20</v>
      </c>
    </row>
    <row r="102" spans="1:3" ht="13">
      <c r="A102" s="39" t="s">
        <v>263</v>
      </c>
      <c r="B102" s="31">
        <v>51.5</v>
      </c>
      <c r="C102" s="39" t="s">
        <v>26</v>
      </c>
    </row>
    <row r="103" spans="1:3" ht="12.5">
      <c r="A103" s="40" t="s">
        <v>263</v>
      </c>
      <c r="B103" s="37">
        <v>48.4</v>
      </c>
      <c r="C103" s="40" t="s">
        <v>264</v>
      </c>
    </row>
    <row r="104" spans="1:3" ht="12.5">
      <c r="A104" s="22" t="s">
        <v>265</v>
      </c>
      <c r="B104" s="33">
        <v>56</v>
      </c>
      <c r="C104" s="22" t="s">
        <v>20</v>
      </c>
    </row>
    <row r="105" spans="1:3" ht="13">
      <c r="A105" s="30" t="s">
        <v>68</v>
      </c>
      <c r="B105" s="31">
        <v>31.3</v>
      </c>
      <c r="C105" s="30" t="s">
        <v>26</v>
      </c>
    </row>
    <row r="106" spans="1:3" ht="12.5">
      <c r="A106" s="24" t="s">
        <v>266</v>
      </c>
      <c r="B106" s="23" t="s">
        <v>267</v>
      </c>
      <c r="C106" s="24" t="s">
        <v>26</v>
      </c>
    </row>
    <row r="107" spans="1:3" ht="12.5">
      <c r="A107" s="24" t="s">
        <v>268</v>
      </c>
      <c r="B107" s="33">
        <v>45</v>
      </c>
      <c r="C107" s="24" t="s">
        <v>26</v>
      </c>
    </row>
    <row r="108" spans="1:3" ht="12.5">
      <c r="A108" s="24" t="s">
        <v>268</v>
      </c>
      <c r="B108" s="33">
        <v>45</v>
      </c>
      <c r="C108" s="24" t="s">
        <v>20</v>
      </c>
    </row>
    <row r="109" spans="1:3" ht="12.5">
      <c r="A109" s="24" t="s">
        <v>31</v>
      </c>
      <c r="B109" s="33">
        <v>44.2</v>
      </c>
      <c r="C109" s="24" t="s">
        <v>29</v>
      </c>
    </row>
    <row r="110" spans="1:3" ht="12.5">
      <c r="A110" s="24" t="s">
        <v>31</v>
      </c>
      <c r="B110" s="33">
        <v>44.2</v>
      </c>
      <c r="C110" s="24" t="s">
        <v>26</v>
      </c>
    </row>
    <row r="111" spans="1:3" ht="12.5">
      <c r="A111" s="24" t="s">
        <v>34</v>
      </c>
      <c r="B111" s="33">
        <v>54.9</v>
      </c>
      <c r="C111" s="24" t="s">
        <v>26</v>
      </c>
    </row>
    <row r="112" spans="1:3" ht="12.5">
      <c r="A112" s="24" t="s">
        <v>34</v>
      </c>
      <c r="B112" s="33">
        <v>54.9</v>
      </c>
      <c r="C112" s="24" t="s">
        <v>20</v>
      </c>
    </row>
    <row r="113" spans="1:3" ht="12.5">
      <c r="A113" s="40" t="s">
        <v>34</v>
      </c>
      <c r="B113" s="37">
        <v>54.9</v>
      </c>
      <c r="C113" s="40" t="s">
        <v>264</v>
      </c>
    </row>
    <row r="114" spans="1:3" ht="12.5">
      <c r="A114" s="24" t="s">
        <v>269</v>
      </c>
      <c r="B114" s="33">
        <v>59.2</v>
      </c>
      <c r="C114" s="24" t="s">
        <v>26</v>
      </c>
    </row>
    <row r="115" spans="1:3" ht="12.5">
      <c r="A115" s="24" t="s">
        <v>269</v>
      </c>
      <c r="B115" s="33">
        <v>59.2</v>
      </c>
      <c r="C115" s="24" t="s">
        <v>20</v>
      </c>
    </row>
    <row r="116" spans="1:3" ht="13">
      <c r="A116" s="41" t="s">
        <v>128</v>
      </c>
      <c r="B116" s="42">
        <v>59.5</v>
      </c>
      <c r="C116" s="41" t="s">
        <v>20</v>
      </c>
    </row>
    <row r="117" spans="1:3" ht="13">
      <c r="A117" s="43" t="s">
        <v>128</v>
      </c>
      <c r="B117" s="42">
        <v>59.5</v>
      </c>
      <c r="C117" s="43" t="s">
        <v>26</v>
      </c>
    </row>
    <row r="118" spans="1:3" ht="12.5">
      <c r="A118" s="40" t="s">
        <v>128</v>
      </c>
      <c r="B118" s="37">
        <v>59.5</v>
      </c>
      <c r="C118" s="40" t="s">
        <v>264</v>
      </c>
    </row>
    <row r="119" spans="1:3" ht="12.5">
      <c r="A119" s="24" t="s">
        <v>44</v>
      </c>
      <c r="B119" s="33">
        <v>62.3</v>
      </c>
      <c r="C119" s="24" t="s">
        <v>20</v>
      </c>
    </row>
    <row r="120" spans="1:3" ht="12.5">
      <c r="A120" s="24" t="s">
        <v>44</v>
      </c>
      <c r="B120" s="33">
        <v>62.3</v>
      </c>
      <c r="C120" s="24" t="s">
        <v>26</v>
      </c>
    </row>
    <row r="121" spans="1:3" ht="12.5">
      <c r="A121" s="40" t="s">
        <v>44</v>
      </c>
      <c r="B121" s="37">
        <v>62.3</v>
      </c>
      <c r="C121" s="40" t="s">
        <v>264</v>
      </c>
    </row>
    <row r="122" spans="1:3" ht="12.5">
      <c r="A122" s="22" t="s">
        <v>49</v>
      </c>
      <c r="B122" s="33">
        <v>69.900000000000006</v>
      </c>
      <c r="C122" s="22" t="s">
        <v>20</v>
      </c>
    </row>
    <row r="123" spans="1:3" ht="12.5">
      <c r="A123" s="22" t="s">
        <v>59</v>
      </c>
      <c r="B123" s="33">
        <v>82.9</v>
      </c>
      <c r="C123" s="22" t="s">
        <v>26</v>
      </c>
    </row>
    <row r="124" spans="1:3" ht="12.5">
      <c r="A124" s="24" t="s">
        <v>270</v>
      </c>
      <c r="B124" s="33">
        <v>79.5</v>
      </c>
      <c r="C124" s="24" t="s">
        <v>271</v>
      </c>
    </row>
    <row r="125" spans="1:3" ht="12.5">
      <c r="A125" s="24" t="s">
        <v>62</v>
      </c>
      <c r="B125" s="33">
        <v>115.1</v>
      </c>
      <c r="C125" s="24" t="s">
        <v>26</v>
      </c>
    </row>
    <row r="126" spans="1:3" ht="12.5">
      <c r="A126" s="24" t="s">
        <v>62</v>
      </c>
      <c r="B126" s="33">
        <v>93.6</v>
      </c>
      <c r="C126" s="24" t="s">
        <v>20</v>
      </c>
    </row>
    <row r="127" spans="1:3" ht="12.5">
      <c r="A127" s="36" t="s">
        <v>272</v>
      </c>
      <c r="B127" s="37">
        <v>48</v>
      </c>
      <c r="C127" s="36" t="s">
        <v>26</v>
      </c>
    </row>
    <row r="128" spans="1:3" ht="12.5">
      <c r="A128" s="24" t="s">
        <v>273</v>
      </c>
      <c r="B128" s="33">
        <v>110</v>
      </c>
      <c r="C128" s="24" t="s">
        <v>26</v>
      </c>
    </row>
    <row r="129" spans="1:3" ht="12.5">
      <c r="A129" s="24" t="s">
        <v>66</v>
      </c>
      <c r="B129" s="33">
        <v>148.4</v>
      </c>
      <c r="C129" s="24" t="s">
        <v>26</v>
      </c>
    </row>
    <row r="130" spans="1:3" ht="12.5">
      <c r="A130" s="24" t="s">
        <v>274</v>
      </c>
      <c r="B130" s="33">
        <v>137.69999999999999</v>
      </c>
      <c r="C130" s="24" t="s">
        <v>29</v>
      </c>
    </row>
    <row r="131" spans="1:3" ht="12.5">
      <c r="A131" s="32" t="s">
        <v>275</v>
      </c>
      <c r="B131" s="33">
        <v>139.80000000000001</v>
      </c>
      <c r="C131" s="32" t="s">
        <v>20</v>
      </c>
    </row>
    <row r="132" spans="1:3" ht="12.5">
      <c r="A132" s="32" t="s">
        <v>77</v>
      </c>
      <c r="B132" s="33">
        <v>193.5</v>
      </c>
      <c r="C132" s="32" t="s">
        <v>20</v>
      </c>
    </row>
    <row r="133" spans="1:3" ht="12.5">
      <c r="A133" s="44" t="s">
        <v>276</v>
      </c>
      <c r="B133" s="45">
        <v>322.60000000000002</v>
      </c>
      <c r="C133" s="44" t="s">
        <v>20</v>
      </c>
    </row>
    <row r="134" spans="1:3" ht="12.5">
      <c r="A134" s="44" t="s">
        <v>277</v>
      </c>
      <c r="B134" s="45">
        <v>322.60000000000002</v>
      </c>
      <c r="C134" s="44" t="s">
        <v>20</v>
      </c>
    </row>
    <row r="135" spans="1:3" ht="13">
      <c r="A135" s="46" t="s">
        <v>124</v>
      </c>
      <c r="B135" s="31">
        <v>60</v>
      </c>
      <c r="C135" s="46" t="s">
        <v>26</v>
      </c>
    </row>
    <row r="136" spans="1:3" ht="12.5">
      <c r="A136" s="24" t="s">
        <v>19</v>
      </c>
      <c r="B136" s="33">
        <v>33.9</v>
      </c>
      <c r="C136" s="24" t="s">
        <v>20</v>
      </c>
    </row>
    <row r="137" spans="1:3" ht="12.5">
      <c r="A137" s="24" t="s">
        <v>278</v>
      </c>
      <c r="B137" s="33">
        <v>46</v>
      </c>
      <c r="C137" s="24" t="s">
        <v>20</v>
      </c>
    </row>
    <row r="138" spans="1:3" ht="12.5">
      <c r="A138" s="36" t="s">
        <v>279</v>
      </c>
      <c r="B138" s="37" t="s">
        <v>267</v>
      </c>
      <c r="C138" s="36" t="s">
        <v>26</v>
      </c>
    </row>
    <row r="139" spans="1:3" ht="12.5">
      <c r="A139" s="36" t="s">
        <v>280</v>
      </c>
      <c r="B139" s="37" t="s">
        <v>267</v>
      </c>
      <c r="C139" s="36" t="s">
        <v>26</v>
      </c>
    </row>
    <row r="140" spans="1:3" ht="12.5">
      <c r="A140" s="24" t="s">
        <v>281</v>
      </c>
      <c r="B140" s="33" t="s">
        <v>267</v>
      </c>
      <c r="C140" s="38" t="s">
        <v>26</v>
      </c>
    </row>
    <row r="141" spans="1:3" ht="12.5">
      <c r="A141" s="22" t="s">
        <v>282</v>
      </c>
      <c r="B141" s="33" t="s">
        <v>267</v>
      </c>
      <c r="C141" s="24" t="s">
        <v>26</v>
      </c>
    </row>
    <row r="142" spans="1:3" ht="12.5">
      <c r="A142" s="22" t="s">
        <v>283</v>
      </c>
      <c r="B142" s="33" t="s">
        <v>267</v>
      </c>
      <c r="C142" s="24" t="s">
        <v>26</v>
      </c>
    </row>
    <row r="143" spans="1:3" ht="12.5">
      <c r="A143" s="22" t="s">
        <v>284</v>
      </c>
      <c r="B143" s="33" t="s">
        <v>267</v>
      </c>
      <c r="C143" s="24" t="s">
        <v>26</v>
      </c>
    </row>
    <row r="144" spans="1:3" ht="12.5">
      <c r="A144" s="22" t="s">
        <v>285</v>
      </c>
      <c r="B144" s="33" t="s">
        <v>267</v>
      </c>
      <c r="C144" s="24" t="s">
        <v>26</v>
      </c>
    </row>
    <row r="145" spans="1:3" ht="12.5">
      <c r="A145" s="24" t="s">
        <v>286</v>
      </c>
      <c r="B145" s="33">
        <v>84</v>
      </c>
      <c r="C145" s="24" t="s">
        <v>26</v>
      </c>
    </row>
    <row r="146" spans="1:3" ht="12.5">
      <c r="A146" s="22" t="s">
        <v>287</v>
      </c>
      <c r="B146" s="33">
        <v>107.5</v>
      </c>
      <c r="C146" s="24" t="s">
        <v>26</v>
      </c>
    </row>
    <row r="147" spans="1:3" ht="12.5">
      <c r="A147" s="24" t="s">
        <v>81</v>
      </c>
      <c r="B147" s="33">
        <v>149.5</v>
      </c>
      <c r="C147" s="24" t="s">
        <v>20</v>
      </c>
    </row>
    <row r="148" spans="1:3" ht="12.5">
      <c r="A148" s="24" t="s">
        <v>83</v>
      </c>
      <c r="B148" s="33">
        <v>149.5</v>
      </c>
      <c r="C148" s="24" t="s">
        <v>26</v>
      </c>
    </row>
    <row r="149" spans="1:3" ht="12.5">
      <c r="A149" s="24" t="s">
        <v>85</v>
      </c>
      <c r="B149" s="33">
        <v>193.5</v>
      </c>
      <c r="C149" s="24" t="s">
        <v>20</v>
      </c>
    </row>
    <row r="150" spans="1:3" ht="12.5">
      <c r="A150" s="36" t="s">
        <v>288</v>
      </c>
      <c r="B150" s="37" t="s">
        <v>267</v>
      </c>
      <c r="C150" s="36" t="s">
        <v>26</v>
      </c>
    </row>
    <row r="151" spans="1:3" ht="13">
      <c r="A151" s="47" t="s">
        <v>118</v>
      </c>
      <c r="B151" s="31">
        <v>65</v>
      </c>
      <c r="C151" s="30" t="s">
        <v>20</v>
      </c>
    </row>
    <row r="152" spans="1:3" ht="13">
      <c r="A152" s="47" t="s">
        <v>120</v>
      </c>
      <c r="B152" s="31">
        <v>65</v>
      </c>
      <c r="C152" s="30" t="s">
        <v>20</v>
      </c>
    </row>
    <row r="153" spans="1:3" ht="13">
      <c r="A153" s="30" t="s">
        <v>121</v>
      </c>
      <c r="B153" s="31">
        <v>65</v>
      </c>
      <c r="C153" s="30" t="s">
        <v>20</v>
      </c>
    </row>
    <row r="154" spans="1:3" ht="12.5">
      <c r="A154" s="40" t="s">
        <v>289</v>
      </c>
      <c r="B154" s="37" t="s">
        <v>267</v>
      </c>
      <c r="C154" s="40" t="s">
        <v>20</v>
      </c>
    </row>
    <row r="155" spans="1:3" ht="12.5">
      <c r="A155" s="36" t="s">
        <v>290</v>
      </c>
      <c r="B155" s="37" t="s">
        <v>267</v>
      </c>
      <c r="C155" s="48" t="s">
        <v>29</v>
      </c>
    </row>
    <row r="156" spans="1:3" ht="12.5">
      <c r="A156" s="36" t="s">
        <v>291</v>
      </c>
      <c r="B156" s="37" t="s">
        <v>267</v>
      </c>
      <c r="C156" s="36" t="s">
        <v>26</v>
      </c>
    </row>
    <row r="157" spans="1:3" ht="12.5">
      <c r="A157" s="36" t="s">
        <v>292</v>
      </c>
      <c r="B157" s="37" t="s">
        <v>267</v>
      </c>
      <c r="C157" s="36" t="s">
        <v>26</v>
      </c>
    </row>
    <row r="158" spans="1:3" ht="12.5">
      <c r="A158" s="36" t="s">
        <v>293</v>
      </c>
      <c r="B158" s="37" t="s">
        <v>267</v>
      </c>
      <c r="C158" s="36" t="s">
        <v>26</v>
      </c>
    </row>
    <row r="159" spans="1:3" ht="12.5">
      <c r="A159" s="36" t="s">
        <v>294</v>
      </c>
      <c r="B159" s="37" t="s">
        <v>267</v>
      </c>
      <c r="C159" s="36" t="s">
        <v>26</v>
      </c>
    </row>
    <row r="160" spans="1:3" ht="12.5">
      <c r="A160" s="36" t="s">
        <v>295</v>
      </c>
      <c r="B160" s="37" t="s">
        <v>267</v>
      </c>
      <c r="C160" s="36" t="s">
        <v>26</v>
      </c>
    </row>
    <row r="161" spans="1:3" ht="12.5">
      <c r="A161" s="36" t="s">
        <v>296</v>
      </c>
      <c r="B161" s="37" t="s">
        <v>267</v>
      </c>
      <c r="C161" s="36" t="s">
        <v>26</v>
      </c>
    </row>
    <row r="162" spans="1:3" ht="12.5">
      <c r="A162" s="36" t="s">
        <v>297</v>
      </c>
      <c r="B162" s="37" t="s">
        <v>267</v>
      </c>
      <c r="C162" s="36" t="s">
        <v>26</v>
      </c>
    </row>
    <row r="163" spans="1:3" ht="12.5">
      <c r="A163" s="36" t="s">
        <v>298</v>
      </c>
      <c r="B163" s="37" t="s">
        <v>267</v>
      </c>
      <c r="C163" s="36" t="s">
        <v>26</v>
      </c>
    </row>
    <row r="164" spans="1:3" ht="12.5">
      <c r="A164" s="36" t="s">
        <v>299</v>
      </c>
      <c r="B164" s="37" t="s">
        <v>267</v>
      </c>
      <c r="C164" s="36" t="s">
        <v>26</v>
      </c>
    </row>
    <row r="165" spans="1:3" ht="12.5">
      <c r="A165" s="36" t="s">
        <v>300</v>
      </c>
      <c r="B165" s="37" t="s">
        <v>267</v>
      </c>
      <c r="C165" s="36" t="s">
        <v>29</v>
      </c>
    </row>
    <row r="166" spans="1:3" ht="12.5">
      <c r="A166" s="40" t="s">
        <v>300</v>
      </c>
      <c r="B166" s="37" t="s">
        <v>267</v>
      </c>
      <c r="C166" s="40" t="s">
        <v>26</v>
      </c>
    </row>
    <row r="167" spans="1:3" ht="12.5">
      <c r="A167" s="36" t="s">
        <v>301</v>
      </c>
      <c r="B167" s="49" t="s">
        <v>267</v>
      </c>
      <c r="C167" s="36"/>
    </row>
    <row r="168" spans="1:3" ht="12.5">
      <c r="A168" s="36" t="s">
        <v>302</v>
      </c>
      <c r="B168" s="49" t="s">
        <v>267</v>
      </c>
      <c r="C168" s="36"/>
    </row>
    <row r="169" spans="1:3" ht="12.5">
      <c r="A169" s="36" t="s">
        <v>303</v>
      </c>
      <c r="B169" s="49" t="s">
        <v>267</v>
      </c>
      <c r="C169" s="36"/>
    </row>
    <row r="170" spans="1:3" ht="12.5">
      <c r="A170" s="50" t="s">
        <v>304</v>
      </c>
      <c r="B170" s="49" t="s">
        <v>267</v>
      </c>
      <c r="C170" s="50" t="s">
        <v>26</v>
      </c>
    </row>
    <row r="171" spans="1:3" ht="12.5">
      <c r="A171" s="50" t="s">
        <v>304</v>
      </c>
      <c r="B171" s="49" t="s">
        <v>267</v>
      </c>
      <c r="C171" s="50" t="s">
        <v>20</v>
      </c>
    </row>
    <row r="172" spans="1:3" ht="12.5">
      <c r="A172" s="22" t="s">
        <v>89</v>
      </c>
      <c r="B172" s="33">
        <v>75</v>
      </c>
      <c r="C172" s="22" t="s">
        <v>29</v>
      </c>
    </row>
    <row r="173" spans="1:3" ht="12.5">
      <c r="A173" s="22" t="s">
        <v>89</v>
      </c>
      <c r="B173" s="33">
        <v>75</v>
      </c>
      <c r="C173" s="22" t="s">
        <v>26</v>
      </c>
    </row>
    <row r="174" spans="1:3" ht="12.5">
      <c r="A174" s="36" t="s">
        <v>305</v>
      </c>
      <c r="B174" s="37" t="s">
        <v>267</v>
      </c>
      <c r="C174" s="36" t="s">
        <v>26</v>
      </c>
    </row>
    <row r="175" spans="1:3" ht="12.5">
      <c r="A175" s="36" t="s">
        <v>306</v>
      </c>
      <c r="B175" s="37" t="s">
        <v>267</v>
      </c>
      <c r="C175" s="36" t="s">
        <v>153</v>
      </c>
    </row>
    <row r="176" spans="1:3" ht="12.5">
      <c r="A176" s="24" t="s">
        <v>307</v>
      </c>
      <c r="B176" s="33">
        <v>11</v>
      </c>
      <c r="C176" s="22" t="s">
        <v>26</v>
      </c>
    </row>
    <row r="177" spans="1:3" ht="12.5">
      <c r="A177" s="24" t="s">
        <v>307</v>
      </c>
      <c r="B177" s="33">
        <v>11</v>
      </c>
      <c r="C177" s="22" t="s">
        <v>29</v>
      </c>
    </row>
    <row r="178" spans="1:3" ht="12.5">
      <c r="A178" s="36" t="s">
        <v>308</v>
      </c>
      <c r="B178" s="37" t="s">
        <v>267</v>
      </c>
      <c r="C178" s="48" t="s">
        <v>26</v>
      </c>
    </row>
    <row r="179" spans="1:3" ht="12.5">
      <c r="A179" s="36" t="s">
        <v>309</v>
      </c>
      <c r="B179" s="37" t="s">
        <v>267</v>
      </c>
      <c r="C179" s="48" t="s">
        <v>26</v>
      </c>
    </row>
    <row r="180" spans="1:3" ht="12.5">
      <c r="A180" s="24" t="s">
        <v>310</v>
      </c>
      <c r="B180" s="33" t="s">
        <v>267</v>
      </c>
      <c r="C180" s="24" t="s">
        <v>29</v>
      </c>
    </row>
    <row r="181" spans="1:3" ht="12.5">
      <c r="A181" s="24" t="s">
        <v>311</v>
      </c>
      <c r="B181" s="33" t="s">
        <v>267</v>
      </c>
      <c r="C181" s="24" t="s">
        <v>97</v>
      </c>
    </row>
    <row r="182" spans="1:3" ht="12.5">
      <c r="A182" s="24" t="s">
        <v>311</v>
      </c>
      <c r="B182" s="33" t="s">
        <v>267</v>
      </c>
      <c r="C182" s="24" t="s">
        <v>154</v>
      </c>
    </row>
    <row r="183" spans="1:3" ht="12.5">
      <c r="A183" s="24" t="s">
        <v>312</v>
      </c>
      <c r="B183" s="33" t="s">
        <v>267</v>
      </c>
      <c r="C183" s="24" t="s">
        <v>26</v>
      </c>
    </row>
    <row r="184" spans="1:3" ht="12.5">
      <c r="A184" s="24" t="s">
        <v>312</v>
      </c>
      <c r="B184" s="33" t="s">
        <v>267</v>
      </c>
      <c r="C184" s="24" t="s">
        <v>130</v>
      </c>
    </row>
    <row r="185" spans="1:3" ht="12.5">
      <c r="A185" s="24" t="s">
        <v>313</v>
      </c>
      <c r="B185" s="33" t="s">
        <v>267</v>
      </c>
      <c r="C185" s="24" t="s">
        <v>26</v>
      </c>
    </row>
    <row r="186" spans="1:3" ht="12.5">
      <c r="A186" s="24" t="s">
        <v>313</v>
      </c>
      <c r="B186" s="33" t="s">
        <v>267</v>
      </c>
      <c r="C186" s="24" t="s">
        <v>26</v>
      </c>
    </row>
    <row r="187" spans="1:3" ht="12.5">
      <c r="A187" s="24" t="s">
        <v>314</v>
      </c>
      <c r="B187" s="33" t="s">
        <v>267</v>
      </c>
      <c r="C187" s="24" t="s">
        <v>26</v>
      </c>
    </row>
  </sheetData>
  <conditionalFormatting sqref="A2">
    <cfRule type="duplicateValues" dxfId="26" priority="15"/>
  </conditionalFormatting>
  <conditionalFormatting sqref="A20">
    <cfRule type="duplicateValues" dxfId="25" priority="10"/>
  </conditionalFormatting>
  <conditionalFormatting sqref="A21:A25 A1:A19 A27:A62 A188:A1048576">
    <cfRule type="duplicateValues" dxfId="24" priority="81"/>
  </conditionalFormatting>
  <conditionalFormatting sqref="A26">
    <cfRule type="duplicateValues" dxfId="23" priority="5"/>
  </conditionalFormatting>
  <conditionalFormatting sqref="A29 A52">
    <cfRule type="duplicateValues" dxfId="22" priority="79"/>
  </conditionalFormatting>
  <conditionalFormatting sqref="A34">
    <cfRule type="duplicateValues" dxfId="21" priority="76"/>
  </conditionalFormatting>
  <conditionalFormatting sqref="A35">
    <cfRule type="duplicateValues" dxfId="20" priority="75"/>
  </conditionalFormatting>
  <conditionalFormatting sqref="A36">
    <cfRule type="duplicateValues" dxfId="19" priority="74"/>
  </conditionalFormatting>
  <conditionalFormatting sqref="A37">
    <cfRule type="duplicateValues" dxfId="18" priority="73"/>
  </conditionalFormatting>
  <conditionalFormatting sqref="A38">
    <cfRule type="duplicateValues" dxfId="17" priority="72"/>
  </conditionalFormatting>
  <conditionalFormatting sqref="A40">
    <cfRule type="duplicateValues" dxfId="16" priority="71"/>
  </conditionalFormatting>
  <conditionalFormatting sqref="A41 A3">
    <cfRule type="duplicateValues" dxfId="15" priority="31"/>
  </conditionalFormatting>
  <conditionalFormatting sqref="A42">
    <cfRule type="duplicateValues" dxfId="14" priority="70"/>
  </conditionalFormatting>
  <conditionalFormatting sqref="A44">
    <cfRule type="duplicateValues" dxfId="13" priority="33"/>
  </conditionalFormatting>
  <conditionalFormatting sqref="A47">
    <cfRule type="duplicateValues" dxfId="12" priority="32"/>
  </conditionalFormatting>
  <conditionalFormatting sqref="A48">
    <cfRule type="duplicateValues" dxfId="11" priority="69"/>
  </conditionalFormatting>
  <conditionalFormatting sqref="A49 A23:A24">
    <cfRule type="duplicateValues" dxfId="10" priority="68"/>
  </conditionalFormatting>
  <conditionalFormatting sqref="A50">
    <cfRule type="duplicateValues" dxfId="9" priority="30"/>
  </conditionalFormatting>
  <conditionalFormatting sqref="A51 A4:A8">
    <cfRule type="duplicateValues" dxfId="8" priority="67"/>
  </conditionalFormatting>
  <conditionalFormatting sqref="A51">
    <cfRule type="duplicateValues" dxfId="7" priority="56"/>
  </conditionalFormatting>
  <conditionalFormatting sqref="A53">
    <cfRule type="duplicateValues" dxfId="6" priority="65"/>
  </conditionalFormatting>
  <conditionalFormatting sqref="A55 A9:A12">
    <cfRule type="duplicateValues" dxfId="5" priority="66"/>
  </conditionalFormatting>
  <conditionalFormatting sqref="A58:A60">
    <cfRule type="duplicateValues" dxfId="4" priority="16"/>
  </conditionalFormatting>
  <conditionalFormatting sqref="A61:A62 A188:A1048576 A1 A21:A25 A3:A19 A27:A57">
    <cfRule type="duplicateValues" dxfId="3" priority="80"/>
  </conditionalFormatting>
  <conditionalFormatting sqref="A61:A62 A188:A1048576 A45:A46 A1 A42:A43 A51:A57 A48:A49 A21:A25 A4:A19 A27:A40">
    <cfRule type="duplicateValues" dxfId="2" priority="34"/>
  </conditionalFormatting>
  <conditionalFormatting sqref="A61:A62 A188:A1048576 A45:A46 A52 A1 A54 A43 A39 A25 A56:A57 A21:A22 A13:A19 A27:A33">
    <cfRule type="duplicateValues" dxfId="1" priority="77"/>
  </conditionalFormatting>
  <conditionalFormatting sqref="A61:A62 A188:A1048576">
    <cfRule type="duplicateValues" dxfId="0" priority="17"/>
  </conditionalFormatting>
  <pageMargins left="0.75" right="0.75" top="1" bottom="1" header="0.5" footer="0.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</vt:lpstr>
      <vt:lpstr>卡板计算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SAP WebAS</dc:creator>
  <cp:lastModifiedBy>Ventmere HR</cp:lastModifiedBy>
  <cp:revision>1</cp:revision>
  <dcterms:created xsi:type="dcterms:W3CDTF">2019-01-10T17:37:00Z</dcterms:created>
  <dcterms:modified xsi:type="dcterms:W3CDTF">2026-05-20T18:07:10Z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KSOReadingLayout">
    <vt:bool>true</vt:bool>
  </property>
  <property fmtid="{D5CDD505-2E9C-101B-9397-08002B2CF9AE}" pid="4" name="ICV">
    <vt:lpwstr>A72070DECF3B458B823FF0C5495AE5B3_13</vt:lpwstr>
  </property>
  <property fmtid="{D5CDD505-2E9C-101B-9397-08002B2CF9AE}" pid="5" name="CalculationRule">
    <vt:i4>0</vt:i4>
  </property>
</Properties>
</file>